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uillinoisedu.sharepoint.com/sites/IEM2026/IEM_2026/Competition/Design Event/"/>
    </mc:Choice>
  </mc:AlternateContent>
  <xr:revisionPtr revIDLastSave="200" documentId="13_ncr:1_{2B82AD8E-80FF-4095-93DF-BB162F8CB169}" xr6:coauthVersionLast="47" xr6:coauthVersionMax="47" xr10:uidLastSave="{7B8FD260-F9A7-4667-A0C6-C045D9147E78}"/>
  <bookViews>
    <workbookView xWindow="-108" yWindow="-108" windowWidth="23256" windowHeight="13896" xr2:uid="{00000000-000D-0000-FFFF-FFFF00000000}"/>
  </bookViews>
  <sheets>
    <sheet name="FSAE_Specs_EV" sheetId="1" r:id="rId1"/>
    <sheet name="Instructions-Tips" sheetId="2" r:id="rId2"/>
  </sheets>
  <definedNames>
    <definedName name="Pr">FSAE_Specs_EV!$A$1:$H$131</definedName>
    <definedName name="_xlnm.Print_Area" localSheetId="0">FSAE_Specs_EV!$A$1:$H$139</definedName>
    <definedName name="_xlnm.Print_Area" localSheetId="1">'Instructions-Tips'!$B$2:$B$15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pztfsm</author>
    <author>PAR</author>
    <author>William Riley</author>
  </authors>
  <commentList>
    <comment ref="A7" authorId="0" shapeId="0" xr:uid="{00000000-0006-0000-0000-000001000000}">
      <text>
        <r>
          <rPr>
            <sz val="9"/>
            <color indexed="8"/>
            <rFont val="Tahoma"/>
            <family val="2"/>
            <charset val="1"/>
          </rPr>
          <t xml:space="preserve">
Exterior Dimensions:   If you were to put the car in a box, how big would the box have to be?
</t>
        </r>
      </text>
    </comment>
    <comment ref="A8" authorId="0" shapeId="0" xr:uid="{00000000-0006-0000-0000-000002000000}">
      <text>
        <r>
          <rPr>
            <sz val="9"/>
            <color indexed="8"/>
            <rFont val="Tahoma"/>
            <family val="2"/>
            <charset val="1"/>
          </rPr>
          <t xml:space="preserve">
Wheelbase= Longitudinal Measurement from wheel center to wheel center.
Track= Lateral Measurement from center of tread to center of tread.</t>
        </r>
      </text>
    </comment>
    <comment ref="A9" authorId="0" shapeId="0" xr:uid="{00000000-0006-0000-0000-000003000000}">
      <text>
        <r>
          <rPr>
            <sz val="9"/>
            <color indexed="8"/>
            <rFont val="Tahoma"/>
            <family val="2"/>
            <charset val="1"/>
          </rPr>
          <t xml:space="preserve">
Without driver, relative to ground.</t>
        </r>
      </text>
    </comment>
    <comment ref="E9" authorId="0" shapeId="0" xr:uid="{00000000-0006-0000-0000-000004000000}">
      <text>
        <r>
          <rPr>
            <sz val="9"/>
            <color indexed="8"/>
            <rFont val="Tahoma"/>
            <family val="2"/>
            <charset val="1"/>
          </rPr>
          <t xml:space="preserve">
Confirmed via _____ test.
</t>
        </r>
      </text>
    </comment>
    <comment ref="A10" authorId="0" shapeId="0" xr:uid="{00000000-0006-0000-0000-000005000000}">
      <text>
        <r>
          <rPr>
            <sz val="9"/>
            <color indexed="8"/>
            <rFont val="Tahoma"/>
            <family val="2"/>
            <charset val="1"/>
          </rPr>
          <t xml:space="preserve">
Vehicle mass without driver or fuel but otherwise 'ready to run'.
</t>
        </r>
      </text>
    </comment>
    <comment ref="A11" authorId="0" shapeId="0" xr:uid="{00000000-0006-0000-0000-000006000000}">
      <text>
        <r>
          <rPr>
            <sz val="9"/>
            <color indexed="8"/>
            <rFont val="Tahoma"/>
            <family val="2"/>
            <charset val="1"/>
          </rPr>
          <t xml:space="preserve">
Specified 'with driver' to assess fore / aft and lateral weights distribution.</t>
        </r>
      </text>
    </comment>
    <comment ref="E11" authorId="0" shapeId="0" xr:uid="{00000000-0006-0000-0000-000007000000}">
      <text>
        <r>
          <rPr>
            <b/>
            <sz val="9"/>
            <color indexed="8"/>
            <rFont val="Tahoma"/>
            <family val="2"/>
            <charset val="1"/>
          </rPr>
          <t>Yes… Left.</t>
        </r>
      </text>
    </comment>
    <comment ref="A13" authorId="0" shapeId="0" xr:uid="{00000000-0006-0000-0000-000008000000}">
      <text>
        <r>
          <rPr>
            <sz val="8"/>
            <color indexed="8"/>
            <rFont val="Tahoma"/>
            <family val="2"/>
            <charset val="1"/>
          </rPr>
          <t xml:space="preserve">When writing Design report, expand upon these parameters and discuss testing used to confirm targets
</t>
        </r>
      </text>
    </comment>
    <comment ref="A14" authorId="0" shapeId="0" xr:uid="{00000000-0006-0000-0000-000009000000}">
      <text>
        <r>
          <rPr>
            <sz val="8"/>
            <color indexed="8"/>
            <rFont val="Tahoma"/>
            <family val="2"/>
            <charset val="1"/>
          </rPr>
          <t xml:space="preserve">
Focus of tire information shall be for the dry tires.
Tire sizing can be in inches, metric or other manufacturers units.
Tire sizing should reflect mounted wheel diameter, tire width, and outer tire diameter or aspect ratio.  (example: 22 x 6.5 - 15, or P215/40R12).
Tread compound should be identified.
Example:  18 x 6.5-10 R24A Gripmax</t>
        </r>
      </text>
    </comment>
    <comment ref="A15" authorId="1" shapeId="0" xr:uid="{CC4B1322-D05D-4C8E-B3C3-1CAF3890595E}">
      <text>
        <r>
          <rPr>
            <sz val="8"/>
            <color indexed="81"/>
            <rFont val="Tahoma"/>
            <family val="2"/>
          </rPr>
          <t xml:space="preserve">
Due to common wheel sizing, wheel diameter and widths typically given in inches.
</t>
        </r>
      </text>
    </comment>
    <comment ref="A16" authorId="0" shapeId="0" xr:uid="{00000000-0006-0000-0000-00000A000000}">
      <text>
        <r>
          <rPr>
            <sz val="8"/>
            <color indexed="8"/>
            <rFont val="Tahoma"/>
            <family val="2"/>
            <charset val="1"/>
          </rPr>
          <t xml:space="preserve">
Describe wheel materials and manufacturing method (spin cast, machined, stamped, composite…).</t>
        </r>
      </text>
    </comment>
    <comment ref="A17" authorId="0" shapeId="0" xr:uid="{00000000-0006-0000-0000-00000B000000}">
      <text>
        <r>
          <rPr>
            <sz val="8"/>
            <color indexed="8"/>
            <rFont val="Tahoma"/>
            <family val="2"/>
            <charset val="1"/>
          </rPr>
          <t xml:space="preserve">
Be as descriptive as you can within this small space.  Describe in detail within your Design Report.
Include the basic suspension configuration (examples: (Short-Long Arm, MacPherson strut, 5-link, etc…) 
also include a description of sprung mass load path (examples: direct acting, pull rod, push rod, etc...).
Optional (if space allows): discuss spring type, stab bars, other relevant features.
</t>
        </r>
      </text>
    </comment>
    <comment ref="A18" authorId="0" shapeId="0" xr:uid="{00000000-0006-0000-0000-00000C000000}">
      <text>
        <r>
          <rPr>
            <sz val="8"/>
            <color indexed="8"/>
            <rFont val="Tahoma"/>
            <family val="2"/>
            <charset val="1"/>
          </rPr>
          <t>Travels from Design Position w/ 68kg driver</t>
        </r>
      </text>
    </comment>
    <comment ref="C18" authorId="0" shapeId="0" xr:uid="{00000000-0006-0000-0000-00000D000000}">
      <text>
        <r>
          <rPr>
            <sz val="9"/>
            <color indexed="8"/>
            <rFont val="Tahoma"/>
            <family val="2"/>
            <charset val="1"/>
          </rPr>
          <t xml:space="preserve">Jounce travel in column D
Rebound travel in column E
</t>
        </r>
      </text>
    </comment>
    <comment ref="F18" authorId="0" shapeId="0" xr:uid="{00000000-0006-0000-0000-00000E000000}">
      <text>
        <r>
          <rPr>
            <sz val="9"/>
            <color indexed="8"/>
            <rFont val="Tahoma"/>
            <family val="2"/>
            <charset val="1"/>
          </rPr>
          <t>Jounce travel in column G
Rebound travel in column H</t>
        </r>
      </text>
    </comment>
    <comment ref="A19" authorId="0" shapeId="0" xr:uid="{00000000-0006-0000-0000-00000F000000}">
      <text>
        <r>
          <rPr>
            <sz val="8"/>
            <color indexed="8"/>
            <rFont val="Tahoma"/>
            <family val="2"/>
            <charset val="1"/>
          </rPr>
          <t xml:space="preserve">Suspension wheel rate- 
Does not include tire rate although you should know the tire contribution to net ride and roll rates.
</t>
        </r>
      </text>
    </comment>
    <comment ref="A20" authorId="0" shapeId="0" xr:uid="{00000000-0006-0000-0000-000010000000}">
      <text>
        <r>
          <rPr>
            <sz val="8"/>
            <color indexed="8"/>
            <rFont val="Tahoma"/>
            <family val="2"/>
            <charset val="1"/>
          </rPr>
          <t xml:space="preserve">
Suspension Roll rate, also known as Suspension Roll Stiffness, does not factor in the tire but you should know the tire's contribution.</t>
        </r>
      </text>
    </comment>
    <comment ref="A24" authorId="0" shapeId="0" xr:uid="{00000000-0006-0000-0000-000011000000}">
      <text>
        <r>
          <rPr>
            <sz val="9"/>
            <color indexed="8"/>
            <rFont val="Tahoma"/>
            <family val="2"/>
            <charset val="1"/>
          </rPr>
          <t xml:space="preserve">
Motion ratio: provide for laden vehicle (with driver) at normal trim height.  Spring motion : Vertical wheel center motion
By type, comment on motion ratio linearity.  For example: linear MR, progressive rate (give MR range (ie.  X.x - x.x : 1).</t>
        </r>
      </text>
    </comment>
    <comment ref="D24" authorId="0" shapeId="0" xr:uid="{00000000-0006-0000-0000-000012000000}">
      <text>
        <r>
          <rPr>
            <sz val="9"/>
            <color indexed="8"/>
            <rFont val="Tahoma"/>
            <family val="2"/>
            <charset val="1"/>
          </rPr>
          <t>Type could be "linear", "progressive", etc.</t>
        </r>
      </text>
    </comment>
    <comment ref="G24" authorId="0" shapeId="0" xr:uid="{00000000-0006-0000-0000-000013000000}">
      <text>
        <r>
          <rPr>
            <sz val="9"/>
            <color indexed="8"/>
            <rFont val="Tahoma"/>
            <family val="2"/>
            <charset val="1"/>
          </rPr>
          <t>Type could be "linear", "progressive", etc.</t>
        </r>
      </text>
    </comment>
    <comment ref="A25" authorId="0" shapeId="0" xr:uid="{00000000-0006-0000-0000-000014000000}">
      <text>
        <r>
          <rPr>
            <sz val="9"/>
            <color indexed="8"/>
            <rFont val="Tahoma"/>
            <family val="2"/>
            <charset val="1"/>
          </rPr>
          <t xml:space="preserve">
Ride Camber = change in wheel camber/vertical displacement of the wheel (relative to ground the body)</t>
        </r>
      </text>
    </comment>
    <comment ref="A26" authorId="0" shapeId="0" xr:uid="{00000000-0006-0000-0000-000015000000}">
      <text>
        <r>
          <rPr>
            <sz val="9"/>
            <color indexed="8"/>
            <rFont val="Tahoma"/>
            <family val="2"/>
            <charset val="1"/>
          </rPr>
          <t xml:space="preserve">
RC=wheel camber/chassis roll angle (both relative to ground),  ref. SAE J670e or Milliken- Race Car Vehicle Dynamics Ch 17.</t>
        </r>
      </text>
    </comment>
    <comment ref="A27" authorId="0" shapeId="0" xr:uid="{00000000-0006-0000-0000-000016000000}">
      <text>
        <r>
          <rPr>
            <sz val="9"/>
            <color indexed="8"/>
            <rFont val="Tahoma"/>
            <family val="2"/>
            <charset val="1"/>
          </rPr>
          <t xml:space="preserve">
Total Toe per axle.  Ie. Sum Toe.
Sign Convention: 
    Positive Toe = Toe In
    Negative Toe = Toe Out
</t>
        </r>
        <r>
          <rPr>
            <b/>
            <sz val="9"/>
            <color indexed="8"/>
            <rFont val="Tahoma"/>
            <family val="2"/>
            <charset val="1"/>
          </rPr>
          <t xml:space="preserve">  
</t>
        </r>
      </text>
    </comment>
    <comment ref="A32" authorId="0" shapeId="0" xr:uid="{00000000-0006-0000-0000-000017000000}">
      <text>
        <r>
          <rPr>
            <sz val="8"/>
            <color indexed="8"/>
            <rFont val="Tahoma"/>
            <family val="2"/>
            <charset val="1"/>
          </rPr>
          <t xml:space="preserve">
Calculation should include chassis roll appropriate for 1g of lateral acceleration
Height is measured above ground, placed in column D or G.
Lateral is measured from centerline, placed in column E or H.  Use positive values if roll center moves toward the laden side.  Negative if it moves toward the unladen side.
</t>
        </r>
      </text>
    </comment>
    <comment ref="A33" authorId="0" shapeId="0" xr:uid="{00000000-0006-0000-0000-000018000000}">
      <text>
        <r>
          <rPr>
            <sz val="9"/>
            <color indexed="8"/>
            <rFont val="Tahoma"/>
            <family val="2"/>
            <charset val="1"/>
          </rPr>
          <t>While not included in this specification, 
You should know and understand "pneumatic trail" at the competition as well.</t>
        </r>
      </text>
    </comment>
    <comment ref="E33" authorId="0" shapeId="0" xr:uid="{00000000-0006-0000-0000-000019000000}">
      <text>
        <r>
          <rPr>
            <sz val="9"/>
            <color indexed="8"/>
            <rFont val="Tahoma"/>
            <family val="2"/>
            <charset val="1"/>
          </rPr>
          <t>Kinematic Trail
As this is a dynamic variable, do not include pneumatic trail here. While not on the spec sheet, teams are expected to understand pneumatic trail and the impact it has on vehicle dynamics.</t>
        </r>
      </text>
    </comment>
    <comment ref="G33" authorId="0" shapeId="0" xr:uid="{00000000-0006-0000-0000-00001A000000}">
      <text>
        <r>
          <rPr>
            <sz val="9"/>
            <color indexed="8"/>
            <rFont val="Tahoma"/>
            <family val="2"/>
            <charset val="1"/>
          </rPr>
          <t xml:space="preserve">
Front Scrub Radius</t>
        </r>
      </text>
    </comment>
    <comment ref="C34" authorId="0" shapeId="0" xr:uid="{00000000-0006-0000-0000-00001B000000}">
      <text>
        <r>
          <rPr>
            <b/>
            <sz val="9"/>
            <color indexed="8"/>
            <rFont val="Tahoma"/>
            <family val="2"/>
            <charset val="1"/>
          </rPr>
          <t xml:space="preserve">
</t>
        </r>
        <r>
          <rPr>
            <sz val="9"/>
            <color indexed="8"/>
            <rFont val="Tahoma"/>
            <family val="2"/>
            <charset val="1"/>
          </rPr>
          <t>Kingpin Axis Inclination (KPI)</t>
        </r>
      </text>
    </comment>
    <comment ref="E34" authorId="0" shapeId="0" xr:uid="{00000000-0006-0000-0000-00001C000000}">
      <text>
        <r>
          <rPr>
            <sz val="9"/>
            <color indexed="8"/>
            <rFont val="Tahoma"/>
            <family val="2"/>
            <charset val="1"/>
          </rPr>
          <t xml:space="preserve">
Spindle Offset or Spindle Length
Lateral distance from kingpin axis to wheel center.</t>
        </r>
      </text>
    </comment>
    <comment ref="D35" authorId="0" shapeId="0" xr:uid="{00000000-0006-0000-0000-00001D000000}">
      <text>
        <r>
          <rPr>
            <sz val="9"/>
            <color indexed="8"/>
            <rFont val="Tahoma"/>
            <family val="2"/>
            <charset val="1"/>
          </rPr>
          <t xml:space="preserve">Yes or No. 
If Yes, Describe in cell below (Adjustment Methods).
</t>
        </r>
      </text>
    </comment>
    <comment ref="A36" authorId="0" shapeId="0" xr:uid="{00000000-0006-0000-0000-00001E000000}">
      <text>
        <r>
          <rPr>
            <sz val="9"/>
            <color indexed="8"/>
            <rFont val="Tahoma"/>
            <family val="2"/>
            <charset val="1"/>
          </rPr>
          <t>Front Caster, Trail, Kingpin and Ackermann adjustment methods</t>
        </r>
      </text>
    </comment>
    <comment ref="A37" authorId="0" shapeId="0" xr:uid="{00000000-0006-0000-0000-00001F000000}">
      <text>
        <r>
          <rPr>
            <sz val="9"/>
            <color indexed="8"/>
            <rFont val="Tahoma"/>
            <family val="2"/>
            <charset val="1"/>
          </rPr>
          <t xml:space="preserve">
Assumption is Front wheels are the only steered wheels, if different, please describe.
Please see comments for individual cells for more detail.</t>
        </r>
      </text>
    </comment>
    <comment ref="C37" authorId="0" shapeId="0" xr:uid="{00000000-0006-0000-0000-000020000000}">
      <text>
        <r>
          <rPr>
            <sz val="9"/>
            <color indexed="8"/>
            <rFont val="Tahoma"/>
            <family val="2"/>
            <charset val="1"/>
          </rPr>
          <t xml:space="preserve">
Steer Ratio through center.  Be prepared to discuss linearity of ratio (including u-joint effects) with judges. 
Units:  Steering Wheel Angle : Road Wheel Angle (average left and right)
</t>
        </r>
      </text>
    </comment>
    <comment ref="E37" authorId="0" shapeId="0" xr:uid="{00000000-0006-0000-0000-000021000000}">
      <text>
        <r>
          <rPr>
            <sz val="9"/>
            <color indexed="8"/>
            <rFont val="Tahoma"/>
            <family val="2"/>
            <charset val="1"/>
          </rPr>
          <t xml:space="preserve">
c-factor (mm)
The effective steering rack travel (mm) per revolution of the steering input/pinion shaft</t>
        </r>
      </text>
    </comment>
    <comment ref="G37" authorId="0" shapeId="0" xr:uid="{00000000-0006-0000-0000-000022000000}">
      <text>
        <r>
          <rPr>
            <sz val="9"/>
            <color indexed="8"/>
            <rFont val="Tahoma"/>
            <family val="2"/>
            <charset val="1"/>
          </rPr>
          <t xml:space="preserve">
Steer Arm Length (mm)
Distance from kingpin axis to center of outer tie rod.</t>
        </r>
      </text>
    </comment>
    <comment ref="A40" authorId="0" shapeId="0" xr:uid="{00000000-0006-0000-0000-000023000000}">
      <text>
        <r>
          <rPr>
            <b/>
            <sz val="9"/>
            <color indexed="8"/>
            <rFont val="Tahoma"/>
            <family val="2"/>
            <charset val="1"/>
          </rPr>
          <t xml:space="preserve">
</t>
        </r>
        <r>
          <rPr>
            <sz val="9"/>
            <color indexed="8"/>
            <rFont val="Tahoma"/>
            <family val="2"/>
            <charset val="1"/>
          </rPr>
          <t>Be as descriptive as possible in the space provided.
Include: fixed/floating, sizing (diameter and thickness), materials, vented?, coatings (if applicable)</t>
        </r>
      </text>
    </comment>
    <comment ref="A41" authorId="0" shapeId="0" xr:uid="{00000000-0006-0000-0000-000024000000}">
      <text>
        <r>
          <rPr>
            <sz val="9"/>
            <color indexed="8"/>
            <rFont val="Tahoma"/>
            <family val="2"/>
            <charset val="1"/>
          </rPr>
          <t>Include type, sizing and proportioning method.</t>
        </r>
      </text>
    </comment>
    <comment ref="A42" authorId="0" shapeId="0" xr:uid="{00000000-0006-0000-0000-000025000000}">
      <text>
        <r>
          <rPr>
            <sz val="9"/>
            <color indexed="8"/>
            <rFont val="Tahoma"/>
            <family val="2"/>
            <charset val="1"/>
          </rPr>
          <t xml:space="preserve">
Provide as much information as possible in the space available.
Useful information: caliper material, model, make, piston diameter, configuration.</t>
        </r>
      </text>
    </comment>
    <comment ref="A43" authorId="0" shapeId="0" xr:uid="{00000000-0006-0000-0000-000026000000}">
      <text>
        <r>
          <rPr>
            <sz val="9"/>
            <color indexed="8"/>
            <rFont val="Tahoma"/>
            <family val="2"/>
            <charset val="1"/>
          </rPr>
          <t xml:space="preserve">
Provide as much information as possible in the space available.
Useful information: Make / Model / Compound</t>
        </r>
      </text>
    </comment>
    <comment ref="A44" authorId="0" shapeId="0" xr:uid="{00000000-0006-0000-0000-000027000000}">
      <text>
        <r>
          <rPr>
            <sz val="9"/>
            <color indexed="8"/>
            <rFont val="Tahoma"/>
            <family val="2"/>
            <charset val="1"/>
          </rPr>
          <t xml:space="preserve">  
Unless you have two brake pedals, the pedal Force should be the same for front and rear.
</t>
        </r>
      </text>
    </comment>
    <comment ref="A45" authorId="0" shapeId="0" xr:uid="{00000000-0006-0000-0000-000028000000}">
      <text>
        <r>
          <rPr>
            <sz val="9"/>
            <color indexed="8"/>
            <rFont val="Tahoma"/>
            <family val="2"/>
            <charset val="1"/>
          </rPr>
          <t xml:space="preserve">
The term Upright refers to the component also sometimes referred to as the knuckle, hub, or corner.
Basic materials and construction: ie. Aluminum weldment, cast Ti, machined steel.
Add relevant features for uprights.
While not detailed in the spec sheet, be prepared to discuss the stiffness of the uprights
and their contribution to the overall camber and toe stiffness.
</t>
        </r>
      </text>
    </comment>
    <comment ref="A46" authorId="0" shapeId="0" xr:uid="{00000000-0006-0000-0000-000029000000}">
      <text>
        <r>
          <rPr>
            <b/>
            <sz val="9"/>
            <color indexed="8"/>
            <rFont val="Tahoma"/>
            <family val="2"/>
            <charset val="1"/>
          </rPr>
          <t xml:space="preserve">
</t>
        </r>
        <r>
          <rPr>
            <sz val="9"/>
            <color indexed="8"/>
            <rFont val="Tahoma"/>
            <family val="2"/>
            <charset val="1"/>
          </rPr>
          <t xml:space="preserve">Describe the bearing type, sizing, and configuration.  
</t>
        </r>
        <r>
          <rPr>
            <b/>
            <sz val="9"/>
            <color indexed="8"/>
            <rFont val="Tahoma"/>
            <family val="2"/>
            <charset val="1"/>
          </rPr>
          <t xml:space="preserve">
</t>
        </r>
        <r>
          <rPr>
            <sz val="9"/>
            <color indexed="8"/>
            <rFont val="Tahoma"/>
            <family val="2"/>
            <charset val="1"/>
          </rPr>
          <t>Like the Upright assembly, you should understand the impact of bearing stiffness on suspension compliance.</t>
        </r>
      </text>
    </comment>
    <comment ref="A47" authorId="0" shapeId="0" xr:uid="{00000000-0006-0000-0000-00002A000000}">
      <text>
        <r>
          <rPr>
            <b/>
            <sz val="9"/>
            <color indexed="8"/>
            <rFont val="Tahoma"/>
            <family val="2"/>
            <charset val="1"/>
          </rPr>
          <t xml:space="preserve">Anthony L Lyscio:
</t>
        </r>
        <r>
          <rPr>
            <sz val="9"/>
            <color indexed="8"/>
            <rFont val="Tahoma"/>
            <family val="2"/>
            <charset val="1"/>
          </rPr>
          <t xml:space="preserve">
Detail material, sizing, and relevant material processes / treatments.</t>
        </r>
      </text>
    </comment>
    <comment ref="A50" authorId="0" shapeId="0" xr:uid="{00000000-0006-0000-0000-00002B000000}">
      <text>
        <r>
          <rPr>
            <b/>
            <sz val="9"/>
            <color indexed="8"/>
            <rFont val="Tahoma"/>
            <family val="2"/>
            <charset val="1"/>
          </rPr>
          <t xml:space="preserve">
</t>
        </r>
        <r>
          <rPr>
            <sz val="9"/>
            <color indexed="8"/>
            <rFont val="Tahoma"/>
            <family val="2"/>
            <charset val="1"/>
          </rPr>
          <t>Include relevant adjustment mechanisms such as adjustable pedals, seats, seat inserts, column adjustments, etc…  
Provide range of adjustments (ie. Seat adjustable +/- xx mm).
Remember: the judges expect the vehicle to accommodate a range of driver sizes.</t>
        </r>
      </text>
    </comment>
    <comment ref="A51" authorId="0" shapeId="0" xr:uid="{00000000-0006-0000-0000-00002C000000}">
      <text>
        <r>
          <rPr>
            <sz val="9"/>
            <color indexed="8"/>
            <rFont val="Tahoma"/>
            <family val="2"/>
            <charset val="1"/>
          </rPr>
          <t xml:space="preserve">
Describe material and basic construction of seat.
Include type of padding.
Include heat support / padding detail.
</t>
        </r>
      </text>
    </comment>
    <comment ref="A52" authorId="0" shapeId="0" xr:uid="{00000000-0006-0000-0000-00002D000000}">
      <text>
        <r>
          <rPr>
            <b/>
            <sz val="9"/>
            <color indexed="8"/>
            <rFont val="Tahoma"/>
            <family val="2"/>
            <charset val="1"/>
          </rPr>
          <t xml:space="preserve">
</t>
        </r>
        <r>
          <rPr>
            <sz val="9"/>
            <color indexed="8"/>
            <rFont val="Tahoma"/>
            <family val="2"/>
            <charset val="1"/>
          </rPr>
          <t xml:space="preserve">Steering wheel size and construction.
</t>
        </r>
        <r>
          <rPr>
            <b/>
            <sz val="9"/>
            <color indexed="8"/>
            <rFont val="Tahoma"/>
            <family val="2"/>
            <charset val="1"/>
          </rPr>
          <t xml:space="preserve">
</t>
        </r>
      </text>
    </comment>
    <comment ref="C52" authorId="0" shapeId="0" xr:uid="{00000000-0006-0000-0000-00002E000000}">
      <text>
        <r>
          <rPr>
            <b/>
            <sz val="9"/>
            <color indexed="8"/>
            <rFont val="Tahoma"/>
            <family val="2"/>
            <charset val="1"/>
          </rPr>
          <t xml:space="preserve">
</t>
        </r>
        <r>
          <rPr>
            <sz val="9"/>
            <color indexed="8"/>
            <rFont val="Tahoma"/>
            <family val="2"/>
            <charset val="1"/>
          </rPr>
          <t>Rim diameter (average diameter of hand wheel at 90 and 180 degrees). 
Rim diameter when combined with steer ratio, trails will lead to steer torque gradient.</t>
        </r>
      </text>
    </comment>
    <comment ref="E52" authorId="0" shapeId="0" xr:uid="{00000000-0006-0000-0000-00002F000000}">
      <text>
        <r>
          <rPr>
            <sz val="9"/>
            <color indexed="8"/>
            <rFont val="Tahoma"/>
            <family val="2"/>
            <charset val="1"/>
          </rPr>
          <t xml:space="preserve">
If purchased, make and model
If student built- shape, materials, etc...</t>
        </r>
      </text>
    </comment>
    <comment ref="A53" authorId="0" shapeId="0" xr:uid="{00000000-0006-0000-0000-000030000000}">
      <text>
        <r>
          <rPr>
            <b/>
            <sz val="9"/>
            <color indexed="8"/>
            <rFont val="Tahoma"/>
            <family val="2"/>
            <charset val="1"/>
          </rPr>
          <t xml:space="preserve">
</t>
        </r>
        <r>
          <rPr>
            <sz val="9"/>
            <color indexed="8"/>
            <rFont val="Tahoma"/>
            <family val="2"/>
          </rPr>
          <t>If present:</t>
        </r>
        <r>
          <rPr>
            <b/>
            <sz val="9"/>
            <color indexed="8"/>
            <rFont val="Tahoma"/>
            <family val="2"/>
            <charset val="1"/>
          </rPr>
          <t xml:space="preserve">
</t>
        </r>
        <r>
          <rPr>
            <sz val="9"/>
            <color indexed="8"/>
            <rFont val="Tahoma"/>
            <family val="2"/>
            <charset val="1"/>
          </rPr>
          <t xml:space="preserve">Detail actuation method (ie. Linkage, Cable, Hydraulic, etc…).
</t>
        </r>
        <r>
          <rPr>
            <b/>
            <sz val="9"/>
            <color indexed="8"/>
            <rFont val="Tahoma"/>
            <family val="2"/>
            <charset val="1"/>
          </rPr>
          <t xml:space="preserve">
</t>
        </r>
        <r>
          <rPr>
            <sz val="9"/>
            <color indexed="8"/>
            <rFont val="Tahoma"/>
            <family val="2"/>
            <charset val="1"/>
          </rPr>
          <t>If an assisted shifter, include assist mechanism (air, electric solenoid, etc…).
Include shifter location.  Gear selection indicator?</t>
        </r>
      </text>
    </comment>
    <comment ref="A54" authorId="0" shapeId="0" xr:uid="{00000000-0006-0000-0000-000032000000}">
      <text>
        <r>
          <rPr>
            <sz val="9"/>
            <color indexed="8"/>
            <rFont val="Tahoma"/>
            <family val="2"/>
            <charset val="1"/>
          </rPr>
          <t xml:space="preserve">
Detail instrumentation including: tachometer, gages, indicators, warning lights, noise level, shift lights, etc…
</t>
        </r>
      </text>
    </comment>
    <comment ref="A55" authorId="0" shapeId="0" xr:uid="{00000000-0006-0000-0000-000033000000}">
      <text>
        <r>
          <rPr>
            <sz val="9"/>
            <color indexed="8"/>
            <rFont val="Tahoma"/>
            <family val="2"/>
            <charset val="1"/>
          </rPr>
          <t xml:space="preserve">
Optional content:  
Additional driver safety systems and considerations:  
     -nomex lined driver cell,
     -GPS tracking device
     -fire suppression system (type/size), 
     -airbags
     -ejection seat with parachute
     -etc...
</t>
        </r>
      </text>
    </comment>
    <comment ref="A59" authorId="0" shapeId="0" xr:uid="{00000000-0006-0000-0000-000034000000}">
      <text>
        <r>
          <rPr>
            <sz val="8"/>
            <color indexed="8"/>
            <rFont val="Tahoma"/>
            <family val="2"/>
            <charset val="1"/>
          </rPr>
          <t>Describe methods and strategy for monitoring and controlling electrical activity on vehicle.
PDM (Power Distribution Management), Fuseblocks, Relays, Auto-switching systems, Safety Power-OFF?</t>
        </r>
      </text>
    </comment>
    <comment ref="A60" authorId="0" shapeId="0" xr:uid="{00000000-0006-0000-0000-000035000000}">
      <text>
        <r>
          <rPr>
            <sz val="8"/>
            <color indexed="8"/>
            <rFont val="Tahoma"/>
            <family val="2"/>
            <charset val="1"/>
          </rPr>
          <t xml:space="preserve">
Detail: Wire sizing, type, identity, wire protection, safety factors, standardization, vibration isolation
Judges will observe wiring integrity and question whether the wiring loom was an early design consideration, or an afterthought?</t>
        </r>
      </text>
    </comment>
    <comment ref="A61" authorId="0" shapeId="0" xr:uid="{00000000-0006-0000-0000-000036000000}">
      <text>
        <r>
          <rPr>
            <sz val="8"/>
            <color indexed="8"/>
            <rFont val="Tahoma"/>
            <family val="2"/>
            <charset val="1"/>
          </rPr>
          <t xml:space="preserve">
Main chassis power.  What battery type? Rating?  How will battery maintain charge throughout dynamic events?
On-board charging control?  Alternator / Generator capacity?</t>
        </r>
      </text>
    </comment>
    <comment ref="A62" authorId="0" shapeId="0" xr:uid="{00000000-0006-0000-0000-000037000000}">
      <text>
        <r>
          <rPr>
            <sz val="8"/>
            <color indexed="8"/>
            <rFont val="Tahoma"/>
            <family val="2"/>
            <charset val="1"/>
          </rPr>
          <t xml:space="preserve">Ground locations and strategy?  Isolation?
Have proper grounding paths been employed?
</t>
        </r>
      </text>
    </comment>
    <comment ref="A63" authorId="0" shapeId="0" xr:uid="{00000000-0006-0000-0000-000038000000}">
      <text>
        <r>
          <rPr>
            <sz val="8"/>
            <color indexed="8"/>
            <rFont val="Tahoma"/>
            <family val="2"/>
            <charset val="1"/>
          </rPr>
          <t xml:space="preserve">Note any special driver assistance/control systems. Note this may or many not be electrical in nature!
Systems may include: HUD, _____-by-wire, Traction control, Shift without Lift, etc…
</t>
        </r>
      </text>
    </comment>
    <comment ref="A64" authorId="0" shapeId="0" xr:uid="{00000000-0006-0000-0000-000039000000}">
      <text>
        <r>
          <rPr>
            <sz val="8"/>
            <color indexed="8"/>
            <rFont val="Tahoma"/>
            <family val="2"/>
            <charset val="1"/>
          </rPr>
          <t>Data logger designed by team, or purchased? Type? Special characteristics?
Channel count/type?
Data radio-transmission type</t>
        </r>
      </text>
    </comment>
    <comment ref="A65" authorId="0" shapeId="0" xr:uid="{00000000-0006-0000-0000-00003A000000}">
      <text>
        <r>
          <rPr>
            <sz val="8"/>
            <color indexed="8"/>
            <rFont val="Tahoma"/>
            <family val="2"/>
            <charset val="1"/>
          </rPr>
          <t>Unique sensor use or technology?
Wireless network/sensors? State and event monitoring, and special physical/chemical sensing?</t>
        </r>
      </text>
    </comment>
    <comment ref="A68" authorId="0" shapeId="0" xr:uid="{00000000-0006-0000-0000-00003B000000}">
      <text>
        <r>
          <rPr>
            <b/>
            <sz val="9"/>
            <color indexed="8"/>
            <rFont val="Tahoma"/>
            <family val="2"/>
            <charset val="1"/>
          </rPr>
          <t xml:space="preserve">
</t>
        </r>
        <r>
          <rPr>
            <sz val="9"/>
            <color indexed="8"/>
            <rFont val="Tahoma"/>
            <family val="2"/>
            <charset val="1"/>
          </rPr>
          <t>Frame / Structure type: Steel spaceframe, Aluminum or composite monocoque, others??
If a hybrid structure or mixed materials describe.</t>
        </r>
      </text>
    </comment>
    <comment ref="A69" authorId="0" shapeId="0" xr:uid="{00000000-0006-0000-0000-00003C000000}">
      <text>
        <r>
          <rPr>
            <b/>
            <sz val="9"/>
            <color indexed="8"/>
            <rFont val="Tahoma"/>
            <family val="2"/>
            <charset val="1"/>
          </rPr>
          <t xml:space="preserve">
</t>
        </r>
        <r>
          <rPr>
            <sz val="9"/>
            <color indexed="8"/>
            <rFont val="Tahoma"/>
            <family val="2"/>
            <charset val="1"/>
          </rPr>
          <t>Detail of primary structural tubing / sheet / composite material for frame and support structures.</t>
        </r>
      </text>
    </comment>
    <comment ref="A70" authorId="0" shapeId="0" xr:uid="{00000000-0006-0000-0000-00003D000000}">
      <text>
        <r>
          <rPr>
            <b/>
            <sz val="9"/>
            <color indexed="8"/>
            <rFont val="Tahoma"/>
            <family val="2"/>
            <charset val="1"/>
          </rPr>
          <t xml:space="preserve">
</t>
        </r>
        <r>
          <rPr>
            <sz val="9"/>
            <color indexed="8"/>
            <rFont val="Tahoma"/>
            <family val="2"/>
            <charset val="1"/>
          </rPr>
          <t>For welded structure, include welding method and filler material.
For bonded structures, include adhesives and joint details
For composite structures, use the space to add overflow information from Material spec.</t>
        </r>
      </text>
    </comment>
    <comment ref="A71" authorId="0" shapeId="0" xr:uid="{00000000-0006-0000-0000-00003E000000}">
      <text>
        <r>
          <rPr>
            <sz val="9"/>
            <color indexed="8"/>
            <rFont val="Tahoma"/>
            <family val="2"/>
            <charset val="1"/>
          </rPr>
          <t xml:space="preserve">
Frame mass applies to the complete vehicle structure and all structural / stiffening braces.
If hybrid frame (composite/spaceframe), complete structure should be included.</t>
        </r>
      </text>
    </comment>
    <comment ref="A74" authorId="0" shapeId="0" xr:uid="{00000000-0006-0000-0000-00003F000000}">
      <text>
        <r>
          <rPr>
            <sz val="9"/>
            <color indexed="8"/>
            <rFont val="Tahoma"/>
            <family val="2"/>
            <charset val="1"/>
          </rPr>
          <t xml:space="preserve">
Detail the specifics of the impact attenuator.  You should note whether this is a standard IA or student design.
Include basic configuration and relevant construction and material information.</t>
        </r>
      </text>
    </comment>
    <comment ref="E76" authorId="0" shapeId="0" xr:uid="{00000000-0006-0000-0000-000040000000}">
      <text>
        <r>
          <rPr>
            <sz val="9"/>
            <color indexed="8"/>
            <rFont val="Tahoma"/>
            <family val="2"/>
            <charset val="1"/>
          </rPr>
          <t>CAE, physical testing, etc.</t>
        </r>
      </text>
    </comment>
    <comment ref="A80" authorId="2" shapeId="0" xr:uid="{00000000-0006-0000-0000-000041000000}">
      <text>
        <r>
          <rPr>
            <sz val="8"/>
            <color indexed="81"/>
            <rFont val="Tahoma"/>
            <family val="2"/>
          </rPr>
          <t>Induction, PM synchronous, DC brush, etc.</t>
        </r>
      </text>
    </comment>
    <comment ref="C83" authorId="0" shapeId="0" xr:uid="{00000000-0006-0000-0000-000042000000}">
      <text>
        <r>
          <rPr>
            <sz val="9"/>
            <color indexed="8"/>
            <rFont val="Tahoma"/>
            <family val="2"/>
            <charset val="1"/>
          </rPr>
          <t xml:space="preserve">Phase in column D
Voltage in column E
</t>
        </r>
      </text>
    </comment>
    <comment ref="F83" authorId="0" shapeId="0" xr:uid="{00000000-0006-0000-0000-000043000000}">
      <text>
        <r>
          <rPr>
            <sz val="9"/>
            <color indexed="8"/>
            <rFont val="Tahoma"/>
            <family val="2"/>
            <charset val="1"/>
          </rPr>
          <t>Phase in column G
Voltage in column H</t>
        </r>
      </text>
    </comment>
    <comment ref="A92" authorId="2" shapeId="0" xr:uid="{00000000-0006-0000-0000-000044000000}">
      <text>
        <r>
          <rPr>
            <sz val="8"/>
            <color indexed="81"/>
            <rFont val="Tahoma"/>
            <family val="2"/>
          </rPr>
          <t>Elaborate on any motor modifications or customization implemented.</t>
        </r>
      </text>
    </comment>
    <comment ref="A96" authorId="0" shapeId="0" xr:uid="{1D0604AA-CABB-42EC-AD4B-C59143687B9C}">
      <text>
        <r>
          <rPr>
            <sz val="9"/>
            <color indexed="8"/>
            <rFont val="Tahoma"/>
            <family val="2"/>
            <charset val="1"/>
          </rPr>
          <t>Mention special considerations for your tractive system design here. (e.g., cooling, state monitoring, enclosures, failure management, etc.)</t>
        </r>
      </text>
    </comment>
    <comment ref="A100" authorId="3" shapeId="0" xr:uid="{3A4F64F7-D8FB-4FE3-948A-7841C68ECB93}">
      <text>
        <r>
          <rPr>
            <sz val="9"/>
            <color indexed="81"/>
            <rFont val="Tahoma"/>
            <family val="2"/>
          </rPr>
          <t xml:space="preserve">
Including enclosure</t>
        </r>
      </text>
    </comment>
    <comment ref="A110" authorId="2" shapeId="0" xr:uid="{00000000-0006-0000-0000-000045000000}">
      <text>
        <r>
          <rPr>
            <sz val="8"/>
            <color indexed="81"/>
            <rFont val="Tahoma"/>
            <family val="2"/>
          </rPr>
          <t>Typically sets Regen braking limits.</t>
        </r>
      </text>
    </comment>
    <comment ref="A111" authorId="2" shapeId="0" xr:uid="{39E0295A-E8C3-45C4-A4C5-FB7359D4A5F4}">
      <text>
        <r>
          <rPr>
            <sz val="8"/>
            <color indexed="81"/>
            <rFont val="Tahoma"/>
            <family val="2"/>
          </rPr>
          <t xml:space="preserve">Air cooled, liquid cooled, etc.
</t>
        </r>
      </text>
    </comment>
    <comment ref="A112" authorId="3" shapeId="0" xr:uid="{D65E0631-A5AF-4DBF-9E37-C15F0CA830C3}">
      <text>
        <r>
          <rPr>
            <sz val="9"/>
            <color indexed="81"/>
            <rFont val="Tahoma"/>
            <family val="2"/>
          </rPr>
          <t xml:space="preserve">
Include assumptions</t>
        </r>
      </text>
    </comment>
    <comment ref="A115" authorId="0" shapeId="0" xr:uid="{00000000-0006-0000-0000-000047000000}">
      <text>
        <r>
          <rPr>
            <sz val="9"/>
            <color indexed="8"/>
            <rFont val="Tahoma"/>
            <family val="2"/>
            <charset val="1"/>
          </rPr>
          <t xml:space="preserve">
Belt (type, width), chain (size?), gearbox, direct….
</t>
        </r>
      </text>
    </comment>
    <comment ref="A116" authorId="0" shapeId="0" xr:uid="{00000000-0006-0000-0000-000048000000}">
      <text>
        <r>
          <rPr>
            <sz val="9"/>
            <color indexed="8"/>
            <rFont val="Tahoma"/>
            <family val="2"/>
            <charset val="1"/>
          </rPr>
          <t>Provide as much information as possible for configuration and tuning of differentiation.
Include both drive and decel bias ratios.
If clutch type, include preload.</t>
        </r>
      </text>
    </comment>
    <comment ref="A117" authorId="2" shapeId="0" xr:uid="{00000000-0006-0000-0000-000049000000}">
      <text>
        <r>
          <rPr>
            <sz val="8"/>
            <color indexed="81"/>
            <rFont val="Tahoma"/>
            <family val="2"/>
          </rPr>
          <t>Differential Ratio 
(often known as Ring/Pinion ratio, or sprocket ratio)</t>
        </r>
      </text>
    </comment>
    <comment ref="A118" authorId="0" shapeId="0" xr:uid="{00000000-0006-0000-0000-00004A000000}">
      <text>
        <r>
          <rPr>
            <sz val="8"/>
            <color indexed="8"/>
            <rFont val="Tahoma"/>
            <family val="2"/>
            <charset val="1"/>
          </rPr>
          <t xml:space="preserve">-Speed in each gear.
-If CVT or other drive system, provide maximum speed at designed max power RPM as well as effective gear ratio bandwidth
</t>
        </r>
      </text>
    </comment>
    <comment ref="A119" authorId="0" shapeId="0" xr:uid="{00000000-0006-0000-0000-00004B000000}">
      <text>
        <r>
          <rPr>
            <sz val="8"/>
            <color indexed="8"/>
            <rFont val="Tahoma"/>
            <family val="2"/>
            <charset val="1"/>
          </rPr>
          <t xml:space="preserve">-Speed in each gear.
-If CVT or other drive system, provide maximum speed at designed max power RPM as well as effective gear ratio bandwidth
</t>
        </r>
      </text>
    </comment>
    <comment ref="A120" authorId="0" shapeId="0" xr:uid="{00000000-0006-0000-0000-00004C000000}">
      <text>
        <r>
          <rPr>
            <sz val="9"/>
            <color indexed="8"/>
            <rFont val="Tahoma"/>
            <family val="2"/>
            <charset val="1"/>
          </rPr>
          <t>Include size, solid or hollow, material, hardness, and other relevant processing information.</t>
        </r>
      </text>
    </comment>
    <comment ref="A125" authorId="0" shapeId="0" xr:uid="{00000000-0006-0000-0000-00004D000000}">
      <text>
        <r>
          <rPr>
            <sz val="8"/>
            <color indexed="8"/>
            <rFont val="Tahoma"/>
            <family val="2"/>
            <charset val="1"/>
          </rPr>
          <t>scale using ρ= 1.162 Kg/m^3 and v= 80 kph
% Front is the percentage of downforce acting on the front tires.</t>
        </r>
      </text>
    </comment>
    <comment ref="C126" authorId="0" shapeId="0" xr:uid="{00000000-0006-0000-0000-00004E000000}">
      <text>
        <r>
          <rPr>
            <sz val="9"/>
            <color indexed="8"/>
            <rFont val="Tahoma"/>
            <family val="2"/>
            <charset val="1"/>
          </rPr>
          <t xml:space="preserve">
Cl: Coefficient of Lift
</t>
        </r>
      </text>
    </comment>
    <comment ref="E126" authorId="0" shapeId="0" xr:uid="{00000000-0006-0000-0000-00004F000000}">
      <text>
        <r>
          <rPr>
            <sz val="9"/>
            <color indexed="8"/>
            <rFont val="Tahoma"/>
            <family val="2"/>
            <charset val="1"/>
          </rPr>
          <t xml:space="preserve">
Reference Area
</t>
        </r>
      </text>
    </comment>
    <comment ref="G126" authorId="0" shapeId="0" xr:uid="{00000000-0006-0000-0000-000050000000}">
      <text>
        <r>
          <rPr>
            <b/>
            <sz val="9"/>
            <color indexed="8"/>
            <rFont val="Tahoma"/>
            <family val="2"/>
            <charset val="1"/>
          </rPr>
          <t xml:space="preserve">
Cd: Coefficient of Drag</t>
        </r>
      </text>
    </comment>
    <comment ref="A131" authorId="0" shapeId="0" xr:uid="{00000000-0006-0000-0000-000051000000}">
      <text>
        <r>
          <rPr>
            <sz val="9"/>
            <color indexed="8"/>
            <rFont val="Tahoma"/>
            <family val="2"/>
            <charset val="1"/>
          </rPr>
          <t xml:space="preserve">
Items of interest and optional space for your use.
Describe special bits such as: autodarkening windscreens, automatic driver detection, and curb feelers.</t>
        </r>
      </text>
    </comment>
    <comment ref="A134" authorId="3" shapeId="0" xr:uid="{BA773756-B9BE-4E3D-8FD8-43D272F55A38}">
      <text>
        <r>
          <rPr>
            <sz val="9"/>
            <color indexed="81"/>
            <rFont val="Tahoma"/>
            <family val="2"/>
          </rPr>
          <t>Brief description of the software approach and how you addressed the different aspects of driverless. How did you train it?</t>
        </r>
      </text>
    </comment>
    <comment ref="A135" authorId="3" shapeId="0" xr:uid="{DF30F01F-5B31-4260-9C04-3C6BDD523318}">
      <text>
        <r>
          <rPr>
            <sz val="9"/>
            <color indexed="81"/>
            <rFont val="Tahoma"/>
            <family val="2"/>
          </rPr>
          <t>What sensors does the vehicle use to perceive the environment around it?</t>
        </r>
      </text>
    </comment>
    <comment ref="A136" authorId="3" shapeId="0" xr:uid="{489D459E-974A-4DE9-BA8E-74DD8E8F21C8}">
      <text>
        <r>
          <rPr>
            <sz val="9"/>
            <color indexed="81"/>
            <rFont val="Tahoma"/>
            <family val="2"/>
          </rPr>
          <t>How is the vehicle steered, e.g. direct motor drive of steering column, belt drive, linear actuator on rack, etc.</t>
        </r>
      </text>
    </comment>
    <comment ref="A137" authorId="3" shapeId="0" xr:uid="{F86F12D2-DFE7-4492-A0BF-A31C7728ECDD}">
      <text>
        <r>
          <rPr>
            <sz val="9"/>
            <color indexed="81"/>
            <rFont val="Tahoma"/>
            <family val="2"/>
          </rPr>
          <t>How are the sensors, actuators and compute networked?</t>
        </r>
      </text>
    </comment>
    <comment ref="A138" authorId="3" shapeId="0" xr:uid="{4AAE3C5D-83FA-427E-8E6A-45D8441C1A2B}">
      <text>
        <r>
          <rPr>
            <sz val="9"/>
            <color indexed="81"/>
            <rFont val="Tahoma"/>
            <family val="2"/>
          </rPr>
          <t>What does the computation? How is it integrated into the system?</t>
        </r>
      </text>
    </comment>
    <comment ref="A139" authorId="3" shapeId="0" xr:uid="{5C69618D-97C2-439A-9172-A3331013F7FE}">
      <text>
        <r>
          <rPr>
            <sz val="9"/>
            <color indexed="81"/>
            <rFont val="Tahoma"/>
            <family val="2"/>
          </rPr>
          <t>Other facts for the design judges to know</t>
        </r>
      </text>
    </comment>
  </commentList>
</comments>
</file>

<file path=xl/sharedStrings.xml><?xml version="1.0" encoding="utf-8"?>
<sst xmlns="http://schemas.openxmlformats.org/spreadsheetml/2006/main" count="387" uniqueCount="305">
  <si>
    <t>FSAE (EV) Design Spec Sheet</t>
  </si>
  <si>
    <t>Competitors: Please read the Instructions-Tips (tab below) prior to the completion and submission of this sheet.</t>
  </si>
  <si>
    <t>Car No.</t>
  </si>
  <si>
    <t>School</t>
  </si>
  <si>
    <t>University of Illinois - Urbana Champaign</t>
  </si>
  <si>
    <t>Dimensions</t>
  </si>
  <si>
    <t>Units</t>
  </si>
  <si>
    <t>Overall Dimensions</t>
  </si>
  <si>
    <t>mm</t>
  </si>
  <si>
    <t>Length:</t>
  </si>
  <si>
    <t>Width:</t>
  </si>
  <si>
    <t>Height:</t>
  </si>
  <si>
    <t>Wheelbase &amp; Track</t>
  </si>
  <si>
    <t>Wheelbase:</t>
  </si>
  <si>
    <t>Front Track:</t>
  </si>
  <si>
    <t>Rear Track:</t>
  </si>
  <si>
    <t>Center of Gravity Design Height</t>
  </si>
  <si>
    <t>CG Height:</t>
  </si>
  <si>
    <t>Confirmed Via:</t>
  </si>
  <si>
    <t>Physical Test (tilt test)</t>
  </si>
  <si>
    <t>Mass without driver</t>
  </si>
  <si>
    <t>kg</t>
  </si>
  <si>
    <t>Front:</t>
  </si>
  <si>
    <t>Rear:</t>
  </si>
  <si>
    <t>Total:</t>
  </si>
  <si>
    <t>Weight Distribution with 68kg driver</t>
  </si>
  <si>
    <t>% Front:</t>
  </si>
  <si>
    <t>% Left:</t>
  </si>
  <si>
    <t>Suspension Parameters</t>
  </si>
  <si>
    <t>Front</t>
  </si>
  <si>
    <t>Rear</t>
  </si>
  <si>
    <t>Tire Size, Compound and Make</t>
  </si>
  <si>
    <t>16 x 7.5 R20 Hoosier</t>
  </si>
  <si>
    <t>Wheels (diameter, width)</t>
  </si>
  <si>
    <t>inch</t>
  </si>
  <si>
    <t>Diameter (col D):
Width (col E):</t>
  </si>
  <si>
    <t>Diameter (col G):
Width (col H):</t>
  </si>
  <si>
    <t>Wheel material and construction</t>
  </si>
  <si>
    <t>3003 Alloy, Forged</t>
  </si>
  <si>
    <t>Suspension Type</t>
  </si>
  <si>
    <t>Double Wishbone w/ Pushrod, Roll/Heave Decoupled</t>
  </si>
  <si>
    <t>Suspension design travel</t>
  </si>
  <si>
    <t>Jounce (col D): Rebound (col E):</t>
  </si>
  <si>
    <t>Jounce (col G): Rebound (col H):</t>
  </si>
  <si>
    <t>Wheel rate (chassis to wheel center)</t>
  </si>
  <si>
    <t>N/mm</t>
  </si>
  <si>
    <t>Roll rate (chassis to wheel center)</t>
  </si>
  <si>
    <t>NM/deg</t>
  </si>
  <si>
    <t>Sprung mass natural frequency</t>
  </si>
  <si>
    <t>Hz</t>
  </si>
  <si>
    <t>Jounce Damping</t>
  </si>
  <si>
    <t>% critical</t>
  </si>
  <si>
    <t>Heave .4, Roll 1</t>
  </si>
  <si>
    <t>at __ mm/sec:</t>
  </si>
  <si>
    <t>Rebound Damping</t>
  </si>
  <si>
    <t>Motion ratio</t>
  </si>
  <si>
    <t>_.__:1</t>
  </si>
  <si>
    <t>H: 1.0    R:1.38</t>
  </si>
  <si>
    <t>Type:</t>
  </si>
  <si>
    <t>Linear</t>
  </si>
  <si>
    <t>H: 1.05  R: 1.62</t>
  </si>
  <si>
    <r>
      <t xml:space="preserve">Ride Camber </t>
    </r>
    <r>
      <rPr>
        <sz val="9"/>
        <rFont val="Franklin Gothic Medium Cond"/>
        <family val="2"/>
        <charset val="1"/>
      </rPr>
      <t xml:space="preserve"> (Rate of Camber Change)</t>
    </r>
  </si>
  <si>
    <t>deg/m</t>
  </si>
  <si>
    <t>Roll Camber</t>
  </si>
  <si>
    <t>deg/deg</t>
  </si>
  <si>
    <t>Static Sum Toe (- out, + in)</t>
  </si>
  <si>
    <t>deg</t>
  </si>
  <si>
    <t>0</t>
  </si>
  <si>
    <t>Static camber</t>
  </si>
  <si>
    <t>-1</t>
  </si>
  <si>
    <t>Static camber adjustment method</t>
  </si>
  <si>
    <t>camber shims on upright</t>
  </si>
  <si>
    <t>Anti dive / Anti Squat</t>
  </si>
  <si>
    <t>%</t>
  </si>
  <si>
    <t>63.57 / 24.69</t>
  </si>
  <si>
    <t>63.57 / 36.32</t>
  </si>
  <si>
    <t>Roll center height above ground, static</t>
  </si>
  <si>
    <t>41.91</t>
  </si>
  <si>
    <t>65.09</t>
  </si>
  <si>
    <t>Roll center position at 1g lateral acc</t>
  </si>
  <si>
    <t>Height (col D): Lateral (col E):</t>
  </si>
  <si>
    <t>42.63</t>
  </si>
  <si>
    <t>64.57</t>
  </si>
  <si>
    <t>Height (col G): Lateral (col H):</t>
  </si>
  <si>
    <t>59.32</t>
  </si>
  <si>
    <t>75.45</t>
  </si>
  <si>
    <t>Front Caster, Trail, and Scrub Radius</t>
  </si>
  <si>
    <t>Caster (deg):</t>
  </si>
  <si>
    <t>3.75</t>
  </si>
  <si>
    <t>Kin Trail (mm):</t>
  </si>
  <si>
    <t>189.64</t>
  </si>
  <si>
    <t>Scrub Rad (mm)</t>
  </si>
  <si>
    <t>Front Kingpin Axis</t>
  </si>
  <si>
    <t>Inclination (deg):</t>
  </si>
  <si>
    <t>8</t>
  </si>
  <si>
    <t>Offset (mm):</t>
  </si>
  <si>
    <t>13.410</t>
  </si>
  <si>
    <t>Static Ackermann</t>
  </si>
  <si>
    <t>25</t>
  </si>
  <si>
    <t>Adjustable?</t>
  </si>
  <si>
    <t>No</t>
  </si>
  <si>
    <t>Suspension Adjustment Methods</t>
  </si>
  <si>
    <t>Toe links, camber shims, bump/rebound damping, ride height (links + heave spring preload)</t>
  </si>
  <si>
    <t>Steer Ratio, C-Factor, Steer Arm Length</t>
  </si>
  <si>
    <t>Steer Ratio (x:1)</t>
  </si>
  <si>
    <t>3.2</t>
  </si>
  <si>
    <t>c-factor (mm)</t>
  </si>
  <si>
    <t>88.7</t>
  </si>
  <si>
    <t>Steer Arm Length</t>
  </si>
  <si>
    <t>63.5</t>
  </si>
  <si>
    <t>Brake System / Hub &amp; Axle</t>
  </si>
  <si>
    <t>Rotors</t>
  </si>
  <si>
    <t>0.15" thick, 8.20" OD, X-drilled, AR500, floating</t>
  </si>
  <si>
    <t>0.15" thick, 8.06" OD, X-drilled, AR500, floating</t>
  </si>
  <si>
    <t>Master Cylinder</t>
  </si>
  <si>
    <t>Tilton 78 Series, 1" Bore</t>
  </si>
  <si>
    <t>Tilton 78 Series, 7/8" Bore</t>
  </si>
  <si>
    <t>Calipers</t>
  </si>
  <si>
    <t>AP Racing CP4227-2S0</t>
  </si>
  <si>
    <t>AP Racing CP4226-2S0</t>
  </si>
  <si>
    <t>Brake Pad/Lining Material</t>
  </si>
  <si>
    <t>AP Racing RQ3</t>
  </si>
  <si>
    <t>Force and Pressures @ 1g Deceleration</t>
  </si>
  <si>
    <t>Front Pres. (bar):</t>
  </si>
  <si>
    <t>Rear Pres. (bar):</t>
  </si>
  <si>
    <t>Pedal Force (kN)</t>
  </si>
  <si>
    <t>Upright Assembly</t>
  </si>
  <si>
    <t>7075-T6 Uprights; shim adjustable camber</t>
  </si>
  <si>
    <t>Hub Bearings</t>
  </si>
  <si>
    <t>2x Silverthin SB035AR0 Thin Section (back-2-back)</t>
  </si>
  <si>
    <t>Axle type, size, and material</t>
  </si>
  <si>
    <t>Two-piece 7075-T6 Aluminum Hub</t>
  </si>
  <si>
    <t>Ergonomics</t>
  </si>
  <si>
    <t>Driver Size Adjustments</t>
  </si>
  <si>
    <t>Pedalbox: 7" (Cam lever). Seat: 1" longitudinal (via pins). Headrest: 2" (via pins).</t>
  </si>
  <si>
    <t>Seat (materials, padding/damping)</t>
  </si>
  <si>
    <t>CFRP and nomex core bucket seat; expanding foam inserts custom molded to each driver used to locally bolster as needed</t>
  </si>
  <si>
    <t>Steering Wheel (dia, construction)</t>
  </si>
  <si>
    <t>Diamter (mm)</t>
  </si>
  <si>
    <t>Construction</t>
  </si>
  <si>
    <t>CFRP panel, nylon grips (molded to driver)</t>
  </si>
  <si>
    <t>Shift / Clutch Actuator (if present)</t>
  </si>
  <si>
    <t>N/A</t>
  </si>
  <si>
    <t>Instrumentation</t>
  </si>
  <si>
    <t>Optional: (e.g., Driver Safety Systems, etc.?)</t>
  </si>
  <si>
    <t>Plex SDM-550 5" display for vehicle status (temps, maps, etc). LED's display vehicle faults</t>
  </si>
  <si>
    <t>Electrical (non-drive systems)</t>
  </si>
  <si>
    <t>Power Management / Control</t>
  </si>
  <si>
    <t>custom PCB with STM32H7 as Power Distribution Board, COTS 24V DC/DC, custom PCB with STM32H7 as ECU.</t>
  </si>
  <si>
    <t>Wiring / Loom / ECM mounting</t>
  </si>
  <si>
    <t>M22759/32 wire, Raychem DR-25 &amp; SCL heatshrink + boots, Deutsch/Autosport connectors.</t>
  </si>
  <si>
    <t>Battery / Charging System</t>
  </si>
  <si>
    <t>Custom 11s2p Li-ion battery, 362Wh. Custom 11s charging BMS and off car charger</t>
  </si>
  <si>
    <t>Grounding</t>
  </si>
  <si>
    <t>Aluminum core of chassis, with short grounding straps for isolated suspension members.</t>
  </si>
  <si>
    <t>Driver Assist Systems</t>
  </si>
  <si>
    <t>TV control map, launch control adjustment via steering wheel knobs, Plex SDM-550 race display</t>
  </si>
  <si>
    <t>Logging / Telemetry</t>
  </si>
  <si>
    <t>CSS Canedge 3 (logs 3 vehicle CAN lines; vehicle critical comms., VCU -&gt; Inverter, sensor logging CAN), LTE based live telemetry module for live vehicle monitoring</t>
  </si>
  <si>
    <t>Special Sensing Technology</t>
  </si>
  <si>
    <t>VectorNav DUAL GNSS/INS, suspension load cells steering &amp; slip angle, tire &amp; rotor temp</t>
  </si>
  <si>
    <t xml:space="preserve">Frame </t>
  </si>
  <si>
    <t>Frame Construction</t>
  </si>
  <si>
    <t xml:space="preserve">Full CFRP/Aluminum Honeycomb Monocoque, Welded 4130 Steel Tube Main Hoop, Welded 6061 Al Front Hoop					</t>
  </si>
  <si>
    <t>Material</t>
  </si>
  <si>
    <t>Toray TC380 T800 prepreg, 5056 Aluminum Honeycomb, 4130 Steel Tube, 6061 Al Square Tube</t>
  </si>
  <si>
    <t>Joining method and material</t>
  </si>
  <si>
    <t>Welded Main Hoop Assembly, ER70S filler rod</t>
  </si>
  <si>
    <t>Bare frame mass with brackets &amp; paint</t>
  </si>
  <si>
    <t>Target:</t>
  </si>
  <si>
    <t>Physical Test:</t>
  </si>
  <si>
    <t>Torsional stiffness</t>
  </si>
  <si>
    <t>N-m/deg</t>
  </si>
  <si>
    <t>Simulated:</t>
  </si>
  <si>
    <t>Torsional stiffness validation method</t>
  </si>
  <si>
    <t>Place car on scales (no rims/tires), solid steel dampers. Shim corners &amp; measure weights to derive stiffness</t>
  </si>
  <si>
    <t>Impact Attenuator configuration</t>
  </si>
  <si>
    <t>Standard honecomb IA bonded to aluminum anti-intrusion plate, AIP  bonded to monocoque</t>
  </si>
  <si>
    <t>Impact Attenuator dimensions</t>
  </si>
  <si>
    <t>Depth:</t>
  </si>
  <si>
    <t>Impact Attenuator energy capacity</t>
  </si>
  <si>
    <t>kJ</t>
  </si>
  <si>
    <t>Energy:</t>
  </si>
  <si>
    <t>Method:</t>
  </si>
  <si>
    <t>No test. Standard honeycomb IA used.</t>
  </si>
  <si>
    <t>Tractive Drive Power System</t>
  </si>
  <si>
    <t>Motor Manufacturer / Model / Type</t>
  </si>
  <si>
    <t>AMK Motion</t>
  </si>
  <si>
    <t>Motor Technology utilized</t>
  </si>
  <si>
    <t>PMSM</t>
  </si>
  <si>
    <t>Motor Count and Location(s)</t>
  </si>
  <si>
    <t>2, Located at the wheels</t>
  </si>
  <si>
    <t>Driven Wheel Count &amp; Location(s)</t>
  </si>
  <si>
    <t>Nominal Motor Voltage (phase and volts)</t>
  </si>
  <si>
    <t>P, V</t>
  </si>
  <si>
    <t>Phase (col D): Voltage (col E):</t>
  </si>
  <si>
    <t>Maximum Design Motor rpm (1/min)</t>
  </si>
  <si>
    <t>rpm</t>
  </si>
  <si>
    <t>Base Speed (max torque until xx rpm)</t>
  </si>
  <si>
    <t>Maximum Motor Torque (peak)</t>
  </si>
  <si>
    <t>Nm for Xsec</t>
  </si>
  <si>
    <t>21 Nm for 1.24 s</t>
  </si>
  <si>
    <t>Maximum Motor Torque (continuous)</t>
  </si>
  <si>
    <t>Nm</t>
  </si>
  <si>
    <t xml:space="preserve">9.8 Nm  </t>
  </si>
  <si>
    <t>Maximum Motor Power (peak)</t>
  </si>
  <si>
    <t>kW @ rpm</t>
  </si>
  <si>
    <t>35 kW @ 16,000 RPM</t>
  </si>
  <si>
    <t>Maximum Motor Power (continuous)</t>
  </si>
  <si>
    <t>12.3 kW @ 12000 RPM</t>
  </si>
  <si>
    <t>Torque Control Modes (vectoring, etc.)</t>
  </si>
  <si>
    <t>Vectoring</t>
  </si>
  <si>
    <t>Motor Speed Sensor(s)? If so, what type</t>
  </si>
  <si>
    <t>Encoders</t>
  </si>
  <si>
    <t>Significant Motor Modifications</t>
  </si>
  <si>
    <t>Motor Controller(s) Type / Model</t>
  </si>
  <si>
    <t>Inverter KW26-S5-FSE-4Q (47541)</t>
  </si>
  <si>
    <t>Motor Controller Discharge Power (peak)</t>
  </si>
  <si>
    <t>kW for x sec</t>
  </si>
  <si>
    <t>52 kW for 10 s</t>
  </si>
  <si>
    <t>Controller Continuous Discharge Power</t>
  </si>
  <si>
    <t>kW</t>
  </si>
  <si>
    <t>26 KVA</t>
  </si>
  <si>
    <t>Other Special Components</t>
  </si>
  <si>
    <t>CFRP inverter enclosure, Aluminum DMLS motor water cooling sleeves</t>
  </si>
  <si>
    <t>Tractive Battery Pack</t>
  </si>
  <si>
    <t>Energy</t>
  </si>
  <si>
    <t>kW-hr</t>
  </si>
  <si>
    <t>Mass</t>
  </si>
  <si>
    <t>Cell Manufacturer / Type</t>
  </si>
  <si>
    <t xml:space="preserve">Melasta </t>
  </si>
  <si>
    <t>Cell Voltage / Capacity</t>
  </si>
  <si>
    <t>Volts, mAh</t>
  </si>
  <si>
    <t>3.8V, 11300 mAh</t>
  </si>
  <si>
    <t>Voltage (fully charged)</t>
  </si>
  <si>
    <t>V</t>
  </si>
  <si>
    <t>Cell Technology/Chemistry</t>
  </si>
  <si>
    <t>Lithium Ion Pouch Cells, LiCoO2</t>
  </si>
  <si>
    <t>Cell Configuration</t>
  </si>
  <si>
    <t>144s1p</t>
  </si>
  <si>
    <t>Discharge Power (peak)</t>
  </si>
  <si>
    <t>159.11 kW for 3 seconds</t>
  </si>
  <si>
    <t>Discharge Power (continuous)</t>
  </si>
  <si>
    <t>106.17 kW</t>
  </si>
  <si>
    <t>Full Pack Charge Time</t>
  </si>
  <si>
    <t>hrs:min</t>
  </si>
  <si>
    <t>0 hrs: 30min</t>
  </si>
  <si>
    <t>Charging Efficiency</t>
  </si>
  <si>
    <t>Charging Power</t>
  </si>
  <si>
    <t>13.56 kW</t>
  </si>
  <si>
    <t>Cooling Method</t>
  </si>
  <si>
    <t>Passive</t>
  </si>
  <si>
    <t>Cycles to 10% capacity reduction</t>
  </si>
  <si>
    <t>cycles</t>
  </si>
  <si>
    <t>Drivetrain</t>
  </si>
  <si>
    <t>Drive Type</t>
  </si>
  <si>
    <t>4WD Outboard Motors</t>
  </si>
  <si>
    <t>Differential Type (if used)</t>
  </si>
  <si>
    <t xml:space="preserve">Final Drive Reduction Ratio </t>
  </si>
  <si>
    <t>_:1</t>
  </si>
  <si>
    <t>Vehicle Speed @ max power (design) rpm</t>
  </si>
  <si>
    <t>kph</t>
  </si>
  <si>
    <t>1st gear:</t>
  </si>
  <si>
    <t>2nd gear:</t>
  </si>
  <si>
    <t>3rd gear:</t>
  </si>
  <si>
    <t>4th gear:</t>
  </si>
  <si>
    <t>5th gear:</t>
  </si>
  <si>
    <t>6th gear:</t>
  </si>
  <si>
    <t>Half shaft size and material</t>
  </si>
  <si>
    <t>Axle Joint type</t>
  </si>
  <si>
    <t>Aerodynamics (if applicable)</t>
  </si>
  <si>
    <t>Type / Configuration</t>
  </si>
  <si>
    <t>3 Element FW + Biplane, 3 Element RW, Full Undertray, Bullhorns</t>
  </si>
  <si>
    <t>Forces (at 80 kph,  ρ= 1.162 kg/m^3)</t>
  </si>
  <si>
    <t>Downforce (N):</t>
  </si>
  <si>
    <t>Drag (N):</t>
  </si>
  <si>
    <t>Coefficients &amp; Reference Area</t>
  </si>
  <si>
    <t xml:space="preserve"> </t>
  </si>
  <si>
    <t>Cl:</t>
  </si>
  <si>
    <t>Ref. Area (m^2):</t>
  </si>
  <si>
    <t>Cd:</t>
  </si>
  <si>
    <t>Notable Features (active, etc)</t>
  </si>
  <si>
    <t>Carbon Internal Wing Structures</t>
  </si>
  <si>
    <t>Other Information</t>
  </si>
  <si>
    <t>Body Work (material, process)</t>
  </si>
  <si>
    <t>Optional Information</t>
  </si>
  <si>
    <t>This section to be completed only for driverless vehicles</t>
  </si>
  <si>
    <t>Driverless System (Driverless vehicles only)</t>
  </si>
  <si>
    <t>Software - Perception/Planning/Control Overview</t>
  </si>
  <si>
    <t>Hardware - Sensors Overview</t>
  </si>
  <si>
    <t>Hardware - Steering Method</t>
  </si>
  <si>
    <t>Hardware - Networking Overview</t>
  </si>
  <si>
    <t>Hardware - Compute Overview</t>
  </si>
  <si>
    <t>Instructions / Tips for Design Specification Sheet</t>
  </si>
  <si>
    <r>
      <rPr>
        <b/>
        <sz val="10"/>
        <rFont val="Arial"/>
        <family val="2"/>
      </rPr>
      <t>Formatting:</t>
    </r>
    <r>
      <rPr>
        <sz val="10"/>
        <rFont val="Arial"/>
        <family val="2"/>
      </rPr>
      <t xml:space="preserve">  </t>
    </r>
    <r>
      <rPr>
        <b/>
        <sz val="10"/>
        <color rgb="FFFF0000"/>
        <rFont val="Arial"/>
        <family val="2"/>
      </rPr>
      <t>Please do not modify the formatting of the spec sheet</t>
    </r>
    <r>
      <rPr>
        <b/>
        <sz val="10"/>
        <color theme="3" tint="-0.249977111117893"/>
        <rFont val="Arial"/>
        <family val="2"/>
      </rPr>
      <t xml:space="preserve">. </t>
    </r>
    <r>
      <rPr>
        <sz val="10"/>
        <rFont val="Arial"/>
        <family val="2"/>
      </rPr>
      <t xml:space="preserve"> It has been laid out to print on a single sheet of 8.5 x 11 paper (double sided).  While we acknowledge that there is little space in the cells, we ask that you be brief and include longer descriptive information within the Design Report.</t>
    </r>
  </si>
  <si>
    <r>
      <rPr>
        <b/>
        <sz val="10"/>
        <rFont val="Arial"/>
        <family val="2"/>
      </rPr>
      <t xml:space="preserve">Completeness: </t>
    </r>
    <r>
      <rPr>
        <sz val="10"/>
        <rFont val="Arial"/>
        <family val="2"/>
      </rPr>
      <t xml:space="preserve"> Please complete the spec sheet in its entirety.  "Unknown" is not an acceptable entry.  The judges expect that there will be a value or description entered for each and every line item contained within.  If by chance, the particular item does not apply to your vehicle / design, please enter "N/A" in the space provided.  N/A = Not Applicable.</t>
    </r>
  </si>
  <si>
    <r>
      <rPr>
        <b/>
        <sz val="10"/>
        <rFont val="Arial"/>
        <family val="2"/>
      </rPr>
      <t>Range of Values:</t>
    </r>
    <r>
      <rPr>
        <sz val="10"/>
        <rFont val="Arial"/>
        <family val="2"/>
      </rPr>
      <t xml:space="preserve">  In cases where you have yet to determine a specific value for a parameter, please input the range that you anticipate the values to fall within.  Please make the noted range as tight (ie. narrow bandwidth) as you feel comfortable.</t>
    </r>
  </si>
  <si>
    <r>
      <rPr>
        <b/>
        <sz val="10"/>
        <rFont val="Arial"/>
        <family val="2"/>
      </rPr>
      <t>Significant Figures:</t>
    </r>
    <r>
      <rPr>
        <sz val="10"/>
        <rFont val="Arial"/>
        <family val="2"/>
      </rPr>
      <t xml:space="preserve"> You are engineers… please use the appropriate number of significant figures.  If you state your Center of Gravity to the micron, don't be surprized if the Judges ask you to prove it.</t>
    </r>
  </si>
  <si>
    <r>
      <rPr>
        <b/>
        <sz val="10"/>
        <rFont val="Arial"/>
        <family val="2"/>
      </rPr>
      <t xml:space="preserve">Units: </t>
    </r>
    <r>
      <rPr>
        <sz val="10"/>
        <rFont val="Arial"/>
        <family val="2"/>
      </rPr>
      <t xml:space="preserve"> For the majority of the specifications requiring a numerical input, the desired unit of measure has been provided.  Please be consistent with the units as specified on this sheet as it makes it WAY easier on the judges.  We have our reasons.</t>
    </r>
  </si>
  <si>
    <r>
      <rPr>
        <b/>
        <sz val="10"/>
        <rFont val="Arial"/>
        <family val="2"/>
      </rPr>
      <t xml:space="preserve">Comments / Clue Tabs: </t>
    </r>
    <r>
      <rPr>
        <sz val="10"/>
        <rFont val="Arial"/>
        <family val="2"/>
      </rPr>
      <t xml:space="preserve"> For many line items, there is additional descriptive information provided if you hover your cursor over the specification cell.  Please use this information to guide your entries.  </t>
    </r>
  </si>
  <si>
    <r>
      <rPr>
        <b/>
        <sz val="10"/>
        <rFont val="Arial"/>
        <family val="2"/>
      </rPr>
      <t>Understanding:</t>
    </r>
    <r>
      <rPr>
        <sz val="10"/>
        <rFont val="Arial"/>
        <family val="2"/>
      </rPr>
      <t xml:space="preserve">  Note that the specifications identified within the spec sheet contain the type of information the</t>
    </r>
    <r>
      <rPr>
        <u/>
        <sz val="10"/>
        <rFont val="Arial"/>
        <family val="2"/>
      </rPr>
      <t xml:space="preserve"> judges will expect you to know, understand, and be capable of discussing </t>
    </r>
    <r>
      <rPr>
        <sz val="10"/>
        <rFont val="Arial"/>
        <family val="2"/>
      </rPr>
      <t>during the Design Event.  Key factors during the discussion shall be the engineering rationale behind each decision and resulting specification.</t>
    </r>
  </si>
  <si>
    <r>
      <rPr>
        <b/>
        <sz val="10"/>
        <rFont val="Arial"/>
        <family val="2"/>
      </rPr>
      <t xml:space="preserve">Consistency: </t>
    </r>
    <r>
      <rPr>
        <sz val="10"/>
        <rFont val="Arial"/>
        <family val="2"/>
      </rPr>
      <t xml:space="preserve"> All values contained within this spec sheet are expected to align with your Design report </t>
    </r>
    <r>
      <rPr>
        <u/>
        <sz val="10"/>
        <rFont val="Arial"/>
        <family val="2"/>
      </rPr>
      <t>and</t>
    </r>
    <r>
      <rPr>
        <sz val="10"/>
        <rFont val="Arial"/>
        <family val="2"/>
      </rPr>
      <t xml:space="preserve"> your vehicle at competition.  It should be expected that inconsistencies will be discussed during the Design event.  Without adequate reasoning for the discrepancies, a negative impact on your design score may result.</t>
    </r>
  </si>
  <si>
    <r>
      <t xml:space="preserve">Timliness:  </t>
    </r>
    <r>
      <rPr>
        <sz val="10"/>
        <rFont val="Arial"/>
        <family val="2"/>
      </rPr>
      <t xml:space="preserve">Please submit the Spec Sheet and Design Report ON TIME.  Late submission penalties can be significant and there is little excuse for points lost due to late submissions. </t>
    </r>
  </si>
  <si>
    <r>
      <rPr>
        <b/>
        <sz val="10"/>
        <rFont val="Arial"/>
        <family val="2"/>
      </rPr>
      <t xml:space="preserve">Data Entry Issues:  </t>
    </r>
    <r>
      <rPr>
        <sz val="10"/>
        <rFont val="Arial"/>
        <family val="2"/>
      </rPr>
      <t xml:space="preserve">If you are having issues with Excel not taking a value (especially if a negative sign is used) please try beginning the entry with an " ' " as the first character. </t>
    </r>
  </si>
  <si>
    <r>
      <t xml:space="preserve">Why?: </t>
    </r>
    <r>
      <rPr>
        <sz val="10"/>
        <rFont val="Arial"/>
        <family val="2"/>
      </rPr>
      <t>A restatement of 'Understanding' (above) but there should be a reason behind each spec you state and you will should understand what that is.</t>
    </r>
    <r>
      <rPr>
        <b/>
        <sz val="10"/>
        <rFont val="Arial"/>
        <family val="2"/>
        <charset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</si>
</sst>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x14ac:knownFonts="1">
    <font>
      <sz val="10"/>
      <name val="Arial"/>
      <family val="2"/>
      <charset val="1"/>
    </font>
    <font>
      <sz val="10"/>
      <name val="Franklin Gothic Medium Cond"/>
      <family val="2"/>
      <charset val="1"/>
    </font>
    <font>
      <b/>
      <sz val="18"/>
      <name val="Franklin Gothic Book"/>
      <family val="2"/>
      <charset val="1"/>
    </font>
    <font>
      <b/>
      <u/>
      <sz val="18"/>
      <name val="Franklin Gothic Medium Cond"/>
      <family val="2"/>
      <charset val="1"/>
    </font>
    <font>
      <sz val="8"/>
      <color indexed="16"/>
      <name val="Franklin Gothic Book"/>
      <family val="2"/>
      <charset val="1"/>
    </font>
    <font>
      <sz val="8"/>
      <name val="Arial"/>
      <family val="2"/>
      <charset val="1"/>
    </font>
    <font>
      <b/>
      <u/>
      <sz val="8"/>
      <name val="Franklin Gothic Medium Cond"/>
      <family val="2"/>
      <charset val="1"/>
    </font>
    <font>
      <b/>
      <sz val="16"/>
      <name val="Franklin Gothic Medium Cond"/>
      <family val="2"/>
      <charset val="1"/>
    </font>
    <font>
      <sz val="16"/>
      <name val="Franklin Gothic Medium Cond"/>
      <family val="2"/>
      <charset val="1"/>
    </font>
    <font>
      <b/>
      <sz val="10"/>
      <name val="Franklin Gothic Medium Cond"/>
      <family val="2"/>
      <charset val="1"/>
    </font>
    <font>
      <sz val="9"/>
      <color indexed="8"/>
      <name val="Tahoma"/>
      <family val="2"/>
      <charset val="1"/>
    </font>
    <font>
      <b/>
      <sz val="9"/>
      <color indexed="8"/>
      <name val="Tahoma"/>
      <family val="2"/>
      <charset val="1"/>
    </font>
    <font>
      <sz val="8"/>
      <color indexed="8"/>
      <name val="Tahoma"/>
      <family val="2"/>
      <charset val="1"/>
    </font>
    <font>
      <sz val="9"/>
      <name val="Franklin Gothic Medium Cond"/>
      <family val="2"/>
      <charset val="1"/>
    </font>
    <font>
      <sz val="9.5"/>
      <name val="Franklin Gothic Medium Cond"/>
      <family val="2"/>
      <charset val="1"/>
    </font>
    <font>
      <b/>
      <sz val="10"/>
      <name val="Arial"/>
      <family val="2"/>
      <charset val="1"/>
    </font>
    <font>
      <sz val="8"/>
      <color indexed="81"/>
      <name val="Tahoma"/>
      <family val="2"/>
    </font>
    <font>
      <b/>
      <sz val="10"/>
      <name val="Franklin Gothic Medium Cond"/>
      <family val="2"/>
    </font>
    <font>
      <sz val="10"/>
      <name val="Arial"/>
      <family val="2"/>
      <charset val="1"/>
    </font>
    <font>
      <sz val="10"/>
      <name val="Arial"/>
      <family val="2"/>
    </font>
    <font>
      <b/>
      <sz val="10"/>
      <name val="Arial"/>
      <family val="2"/>
    </font>
    <font>
      <b/>
      <sz val="10"/>
      <color rgb="FFFF0000"/>
      <name val="Arial"/>
      <family val="2"/>
    </font>
    <font>
      <b/>
      <sz val="10"/>
      <color theme="3" tint="-0.249977111117893"/>
      <name val="Arial"/>
      <family val="2"/>
    </font>
    <font>
      <u/>
      <sz val="10"/>
      <name val="Arial"/>
      <family val="2"/>
    </font>
    <font>
      <u/>
      <sz val="14"/>
      <name val="Arial"/>
      <family val="2"/>
    </font>
    <font>
      <sz val="9.5"/>
      <name val="Franklin Gothic Medium Cond"/>
      <family val="2"/>
    </font>
    <font>
      <sz val="9.25"/>
      <name val="Franklin Gothic Medium Cond"/>
      <family val="2"/>
      <charset val="1"/>
    </font>
    <font>
      <sz val="9"/>
      <color indexed="81"/>
      <name val="Tahoma"/>
      <family val="2"/>
    </font>
    <font>
      <sz val="10"/>
      <name val="Franklin Gothic Medium Cond"/>
      <family val="2"/>
    </font>
    <font>
      <sz val="9"/>
      <color indexed="8"/>
      <name val="Tahoma"/>
      <family val="2"/>
    </font>
    <font>
      <sz val="10"/>
      <color rgb="FFFF0000"/>
      <name val="Franklin Gothic Medium Cond"/>
      <family val="2"/>
      <charset val="1"/>
    </font>
    <font>
      <sz val="10"/>
      <name val="Franklin Gothic Medium Cond"/>
    </font>
  </fonts>
  <fills count="6">
    <fill>
      <patternFill patternType="none"/>
    </fill>
    <fill>
      <patternFill patternType="gray125"/>
    </fill>
    <fill>
      <patternFill patternType="solid">
        <fgColor indexed="23"/>
        <bgColor indexed="55"/>
      </patternFill>
    </fill>
    <fill>
      <patternFill patternType="solid">
        <fgColor rgb="FFBEE8C9"/>
        <bgColor indexed="44"/>
      </patternFill>
    </fill>
    <fill>
      <patternFill patternType="solid">
        <fgColor rgb="FFBEE8C9"/>
        <bgColor indexed="41"/>
      </patternFill>
    </fill>
    <fill>
      <patternFill patternType="solid">
        <fgColor rgb="FFBEE8C9"/>
        <bgColor indexed="64"/>
      </patternFill>
    </fill>
  </fills>
  <borders count="72">
    <border>
      <left/>
      <right/>
      <top/>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style="thin">
        <color indexed="8"/>
      </top>
      <bottom/>
      <diagonal/>
    </border>
    <border>
      <left style="thin">
        <color indexed="8"/>
      </left>
      <right style="medium">
        <color indexed="8"/>
      </right>
      <top style="thin">
        <color indexed="8"/>
      </top>
      <bottom/>
      <diagonal/>
    </border>
    <border>
      <left style="thin">
        <color indexed="8"/>
      </left>
      <right/>
      <top style="thin">
        <color indexed="8"/>
      </top>
      <bottom style="medium">
        <color indexed="8"/>
      </bottom>
      <diagonal/>
    </border>
    <border>
      <left style="medium">
        <color indexed="8"/>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style="medium">
        <color indexed="8"/>
      </left>
      <right style="thin">
        <color indexed="8"/>
      </right>
      <top style="thin">
        <color indexed="8"/>
      </top>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medium">
        <color indexed="8"/>
      </bottom>
      <diagonal/>
    </border>
    <border>
      <left/>
      <right style="thin">
        <color indexed="8"/>
      </right>
      <top style="thin">
        <color indexed="8"/>
      </top>
      <bottom style="thin">
        <color indexed="8"/>
      </bottom>
      <diagonal/>
    </border>
    <border>
      <left/>
      <right style="thin">
        <color indexed="8"/>
      </right>
      <top style="thin">
        <color indexed="8"/>
      </top>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top style="medium">
        <color indexed="8"/>
      </top>
      <bottom style="thin">
        <color indexed="8"/>
      </bottom>
      <diagonal/>
    </border>
    <border>
      <left style="medium">
        <color indexed="8"/>
      </left>
      <right style="thin">
        <color indexed="8"/>
      </right>
      <top/>
      <bottom style="medium">
        <color indexed="8"/>
      </bottom>
      <diagonal/>
    </border>
    <border>
      <left/>
      <right/>
      <top/>
      <bottom style="medium">
        <color indexed="8"/>
      </bottom>
      <diagonal/>
    </border>
    <border>
      <left style="medium">
        <color indexed="8"/>
      </left>
      <right/>
      <top style="thin">
        <color indexed="8"/>
      </top>
      <bottom style="thin">
        <color indexed="8"/>
      </bottom>
      <diagonal/>
    </border>
    <border>
      <left/>
      <right/>
      <top style="thin">
        <color indexed="8"/>
      </top>
      <bottom style="medium">
        <color indexed="8"/>
      </bottom>
      <diagonal/>
    </border>
    <border>
      <left style="medium">
        <color indexed="8"/>
      </left>
      <right/>
      <top style="thin">
        <color indexed="8"/>
      </top>
      <bottom/>
      <diagonal/>
    </border>
    <border>
      <left style="medium">
        <color indexed="8"/>
      </left>
      <right/>
      <top style="medium">
        <color indexed="8"/>
      </top>
      <bottom style="thin">
        <color indexed="8"/>
      </bottom>
      <diagonal/>
    </border>
    <border>
      <left style="medium">
        <color indexed="8"/>
      </left>
      <right/>
      <top/>
      <bottom style="thin">
        <color indexed="8"/>
      </bottom>
      <diagonal/>
    </border>
    <border>
      <left/>
      <right/>
      <top style="thin">
        <color indexed="8"/>
      </top>
      <bottom/>
      <diagonal/>
    </border>
    <border>
      <left style="medium">
        <color indexed="8"/>
      </left>
      <right style="medium">
        <color indexed="8"/>
      </right>
      <top style="medium">
        <color indexed="8"/>
      </top>
      <bottom style="thin">
        <color indexed="8"/>
      </bottom>
      <diagonal/>
    </border>
    <border>
      <left/>
      <right/>
      <top style="medium">
        <color indexed="8"/>
      </top>
      <bottom style="medium">
        <color indexed="8"/>
      </bottom>
      <diagonal/>
    </border>
    <border>
      <left/>
      <right style="medium">
        <color indexed="8"/>
      </right>
      <top style="medium">
        <color indexed="8"/>
      </top>
      <bottom style="thin">
        <color indexed="8"/>
      </bottom>
      <diagonal/>
    </border>
    <border>
      <left style="medium">
        <color indexed="8"/>
      </left>
      <right/>
      <top style="thin">
        <color indexed="8"/>
      </top>
      <bottom style="medium">
        <color indexed="8"/>
      </bottom>
      <diagonal/>
    </border>
    <border>
      <left style="medium">
        <color indexed="8"/>
      </left>
      <right style="medium">
        <color indexed="8"/>
      </right>
      <top style="thin">
        <color indexed="8"/>
      </top>
      <bottom style="medium">
        <color indexed="8"/>
      </bottom>
      <diagonal/>
    </border>
    <border>
      <left style="medium">
        <color indexed="8"/>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style="medium">
        <color indexed="8"/>
      </right>
      <top/>
      <bottom style="medium">
        <color indexed="8"/>
      </bottom>
      <diagonal/>
    </border>
    <border>
      <left/>
      <right/>
      <top style="medium">
        <color indexed="8"/>
      </top>
      <bottom/>
      <diagonal/>
    </border>
    <border>
      <left/>
      <right style="medium">
        <color indexed="8"/>
      </right>
      <top style="thin">
        <color indexed="8"/>
      </top>
      <bottom style="medium">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64"/>
      </left>
      <right style="medium">
        <color indexed="8"/>
      </right>
      <top style="medium">
        <color indexed="64"/>
      </top>
      <bottom style="thin">
        <color indexed="8"/>
      </bottom>
      <diagonal/>
    </border>
    <border>
      <left style="medium">
        <color indexed="8"/>
      </left>
      <right style="medium">
        <color indexed="8"/>
      </right>
      <top style="medium">
        <color indexed="64"/>
      </top>
      <bottom style="thin">
        <color indexed="8"/>
      </bottom>
      <diagonal/>
    </border>
    <border>
      <left style="medium">
        <color indexed="8"/>
      </left>
      <right style="medium">
        <color indexed="64"/>
      </right>
      <top style="medium">
        <color indexed="64"/>
      </top>
      <bottom style="thin">
        <color indexed="8"/>
      </bottom>
      <diagonal/>
    </border>
    <border>
      <left style="medium">
        <color indexed="64"/>
      </left>
      <right style="medium">
        <color indexed="8"/>
      </right>
      <top style="thin">
        <color indexed="8"/>
      </top>
      <bottom style="thin">
        <color indexed="8"/>
      </bottom>
      <diagonal/>
    </border>
    <border>
      <left style="medium">
        <color indexed="8"/>
      </left>
      <right style="medium">
        <color indexed="64"/>
      </right>
      <top style="thin">
        <color indexed="8"/>
      </top>
      <bottom style="thin">
        <color indexed="8"/>
      </bottom>
      <diagonal/>
    </border>
    <border>
      <left style="medium">
        <color indexed="64"/>
      </left>
      <right style="thin">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style="thin">
        <color indexed="8"/>
      </top>
      <bottom style="medium">
        <color indexed="8"/>
      </bottom>
      <diagonal/>
    </border>
    <border>
      <left style="thin">
        <color indexed="8"/>
      </left>
      <right style="medium">
        <color indexed="64"/>
      </right>
      <top style="thin">
        <color indexed="8"/>
      </top>
      <bottom style="medium">
        <color indexed="8"/>
      </bottom>
      <diagonal/>
    </border>
    <border>
      <left style="medium">
        <color indexed="64"/>
      </left>
      <right style="thin">
        <color indexed="8"/>
      </right>
      <top/>
      <bottom style="thin">
        <color indexed="8"/>
      </bottom>
      <diagonal/>
    </border>
    <border>
      <left style="thin">
        <color indexed="8"/>
      </left>
      <right style="medium">
        <color indexed="64"/>
      </right>
      <top/>
      <bottom style="thin">
        <color indexed="8"/>
      </bottom>
      <diagonal/>
    </border>
    <border>
      <left style="medium">
        <color indexed="8"/>
      </left>
      <right style="medium">
        <color indexed="8"/>
      </right>
      <top style="thin">
        <color indexed="64"/>
      </top>
      <bottom style="thin">
        <color indexed="8"/>
      </bottom>
      <diagonal/>
    </border>
    <border>
      <left style="medium">
        <color indexed="64"/>
      </left>
      <right style="thin">
        <color indexed="8"/>
      </right>
      <top style="thin">
        <color indexed="8"/>
      </top>
      <bottom/>
      <diagonal/>
    </border>
    <border>
      <left style="thin">
        <color indexed="8"/>
      </left>
      <right style="medium">
        <color indexed="64"/>
      </right>
      <top style="thin">
        <color indexed="8"/>
      </top>
      <bottom/>
      <diagonal/>
    </border>
    <border>
      <left/>
      <right style="medium">
        <color indexed="8"/>
      </right>
      <top style="thin">
        <color indexed="8"/>
      </top>
      <bottom/>
      <diagonal/>
    </border>
    <border>
      <left style="thin">
        <color indexed="8"/>
      </left>
      <right style="thin">
        <color indexed="8"/>
      </right>
      <top style="medium">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8"/>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right/>
      <top style="thin">
        <color indexed="8"/>
      </top>
      <bottom style="medium">
        <color indexed="64"/>
      </bottom>
      <diagonal/>
    </border>
    <border>
      <left style="medium">
        <color indexed="8"/>
      </left>
      <right style="medium">
        <color indexed="8"/>
      </right>
      <top style="thin">
        <color indexed="8"/>
      </top>
      <bottom style="medium">
        <color indexed="64"/>
      </bottom>
      <diagonal/>
    </border>
    <border>
      <left style="medium">
        <color indexed="8"/>
      </left>
      <right style="medium">
        <color indexed="64"/>
      </right>
      <top style="thin">
        <color indexed="8"/>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rgb="FF000000"/>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thin">
        <color indexed="64"/>
      </top>
      <bottom style="medium">
        <color indexed="64"/>
      </bottom>
      <diagonal/>
    </border>
  </borders>
  <cellStyleXfs count="2">
    <xf numFmtId="0" fontId="0" fillId="0" borderId="0"/>
    <xf numFmtId="0" fontId="18" fillId="0" borderId="0"/>
  </cellStyleXfs>
  <cellXfs count="188">
    <xf numFmtId="0" fontId="0" fillId="0" borderId="0" xfId="0"/>
    <xf numFmtId="0" fontId="1" fillId="0" borderId="0" xfId="1" applyFont="1" applyAlignment="1">
      <alignment horizontal="left" vertical="center" wrapText="1"/>
    </xf>
    <xf numFmtId="0" fontId="1" fillId="0" borderId="0" xfId="1" applyFont="1" applyAlignment="1">
      <alignment vertical="center" wrapText="1"/>
    </xf>
    <xf numFmtId="0" fontId="1" fillId="0" borderId="0" xfId="1" applyFont="1" applyAlignment="1">
      <alignment vertical="center"/>
    </xf>
    <xf numFmtId="0" fontId="2" fillId="0" borderId="0" xfId="1" applyFont="1" applyAlignment="1">
      <alignment horizontal="right" vertical="center"/>
    </xf>
    <xf numFmtId="0" fontId="3" fillId="0" borderId="0" xfId="1" applyFont="1" applyAlignment="1">
      <alignment horizontal="left" vertical="center"/>
    </xf>
    <xf numFmtId="0" fontId="6" fillId="0" borderId="0" xfId="1" applyFont="1" applyAlignment="1">
      <alignment vertical="center"/>
    </xf>
    <xf numFmtId="0" fontId="7" fillId="0" borderId="0" xfId="1" applyFont="1" applyAlignment="1">
      <alignment vertical="center"/>
    </xf>
    <xf numFmtId="0" fontId="1" fillId="0" borderId="1" xfId="1" applyFont="1" applyBorder="1" applyAlignment="1">
      <alignment vertical="center" wrapText="1"/>
    </xf>
    <xf numFmtId="0" fontId="1" fillId="0" borderId="2" xfId="1" applyFont="1" applyBorder="1" applyAlignment="1">
      <alignment vertical="center" wrapText="1"/>
    </xf>
    <xf numFmtId="0" fontId="1" fillId="0" borderId="3" xfId="1" applyFont="1" applyBorder="1" applyAlignment="1">
      <alignment vertical="center" wrapText="1"/>
    </xf>
    <xf numFmtId="0" fontId="1" fillId="0" borderId="4" xfId="1" applyFont="1" applyBorder="1" applyAlignment="1">
      <alignment vertical="center" wrapText="1"/>
    </xf>
    <xf numFmtId="0" fontId="1" fillId="0" borderId="5" xfId="1" applyFont="1" applyBorder="1" applyAlignment="1">
      <alignment vertical="center" wrapText="1"/>
    </xf>
    <xf numFmtId="0" fontId="1" fillId="0" borderId="6" xfId="1" applyFont="1" applyBorder="1" applyAlignment="1">
      <alignment vertical="center" wrapText="1"/>
    </xf>
    <xf numFmtId="0" fontId="1" fillId="0" borderId="8" xfId="1" applyFont="1" applyBorder="1" applyAlignment="1">
      <alignment vertical="center" wrapText="1"/>
    </xf>
    <xf numFmtId="0" fontId="1" fillId="0" borderId="7" xfId="1" applyFont="1" applyBorder="1" applyAlignment="1">
      <alignment horizontal="left" vertical="center" wrapText="1"/>
    </xf>
    <xf numFmtId="0" fontId="1" fillId="0" borderId="2" xfId="1" applyFont="1" applyBorder="1" applyAlignment="1">
      <alignment horizontal="left" vertical="center" wrapText="1"/>
    </xf>
    <xf numFmtId="0" fontId="1" fillId="0" borderId="8" xfId="1" applyFont="1" applyBorder="1" applyAlignment="1">
      <alignment horizontal="left" vertical="center" wrapText="1"/>
    </xf>
    <xf numFmtId="49" fontId="1" fillId="0" borderId="8" xfId="1" applyNumberFormat="1" applyFont="1" applyBorder="1" applyAlignment="1">
      <alignment horizontal="left" vertical="center" wrapText="1"/>
    </xf>
    <xf numFmtId="49" fontId="1" fillId="0" borderId="6" xfId="1" applyNumberFormat="1" applyFont="1" applyBorder="1" applyAlignment="1">
      <alignment horizontal="left" vertical="center" wrapText="1"/>
    </xf>
    <xf numFmtId="49" fontId="1" fillId="0" borderId="9" xfId="1" applyNumberFormat="1" applyFont="1" applyBorder="1" applyAlignment="1">
      <alignment horizontal="left" vertical="center" wrapText="1"/>
    </xf>
    <xf numFmtId="49" fontId="1" fillId="0" borderId="10" xfId="1" applyNumberFormat="1" applyFont="1" applyBorder="1" applyAlignment="1">
      <alignment horizontal="left" vertical="center" wrapText="1"/>
    </xf>
    <xf numFmtId="49" fontId="1" fillId="0" borderId="11" xfId="1" applyNumberFormat="1" applyFont="1" applyBorder="1" applyAlignment="1">
      <alignment horizontal="left" vertical="center" wrapText="1"/>
    </xf>
    <xf numFmtId="0" fontId="18" fillId="0" borderId="12" xfId="1" applyBorder="1" applyAlignment="1">
      <alignment horizontal="left" vertical="center" wrapText="1"/>
    </xf>
    <xf numFmtId="49" fontId="1" fillId="0" borderId="1" xfId="1" applyNumberFormat="1" applyFont="1" applyBorder="1" applyAlignment="1">
      <alignment horizontal="left" vertical="center" wrapText="1"/>
    </xf>
    <xf numFmtId="49" fontId="14" fillId="0" borderId="10" xfId="1" applyNumberFormat="1" applyFont="1" applyBorder="1" applyAlignment="1">
      <alignment horizontal="left" vertical="center" wrapText="1"/>
    </xf>
    <xf numFmtId="0" fontId="1" fillId="0" borderId="3" xfId="1" applyFont="1" applyBorder="1" applyAlignment="1">
      <alignment horizontal="left" vertical="center" wrapText="1"/>
    </xf>
    <xf numFmtId="0" fontId="1" fillId="0" borderId="1" xfId="1" applyFont="1" applyBorder="1" applyAlignment="1">
      <alignment horizontal="left" vertical="center" wrapText="1"/>
    </xf>
    <xf numFmtId="0" fontId="18" fillId="0" borderId="1" xfId="1" applyBorder="1" applyAlignment="1">
      <alignment vertical="center" wrapText="1"/>
    </xf>
    <xf numFmtId="0" fontId="1" fillId="0" borderId="10" xfId="1" applyFont="1" applyBorder="1" applyAlignment="1">
      <alignment horizontal="left" vertical="center" wrapText="1"/>
    </xf>
    <xf numFmtId="0" fontId="15" fillId="0" borderId="0" xfId="1" applyFont="1" applyAlignment="1">
      <alignment vertical="center" wrapText="1"/>
    </xf>
    <xf numFmtId="0" fontId="9" fillId="4" borderId="14" xfId="1" applyFont="1" applyFill="1" applyBorder="1" applyAlignment="1">
      <alignment horizontal="left" vertical="center" wrapText="1"/>
    </xf>
    <xf numFmtId="0" fontId="9" fillId="4" borderId="15" xfId="1" applyFont="1" applyFill="1" applyBorder="1" applyAlignment="1">
      <alignment horizontal="center" vertical="center" wrapText="1"/>
    </xf>
    <xf numFmtId="0" fontId="1" fillId="4" borderId="7" xfId="1" applyFont="1" applyFill="1" applyBorder="1" applyAlignment="1">
      <alignment horizontal="left" vertical="center" wrapText="1"/>
    </xf>
    <xf numFmtId="0" fontId="1" fillId="4" borderId="13" xfId="1" applyFont="1" applyFill="1" applyBorder="1" applyAlignment="1">
      <alignment horizontal="left" vertical="center" wrapText="1"/>
    </xf>
    <xf numFmtId="0" fontId="1" fillId="4" borderId="16" xfId="1" applyFont="1" applyFill="1" applyBorder="1" applyAlignment="1">
      <alignment horizontal="left" vertical="center" wrapText="1"/>
    </xf>
    <xf numFmtId="0" fontId="1" fillId="4" borderId="9" xfId="1" applyFont="1" applyFill="1" applyBorder="1" applyAlignment="1">
      <alignment horizontal="center" vertical="center" wrapText="1"/>
    </xf>
    <xf numFmtId="0" fontId="1" fillId="4" borderId="3" xfId="1" applyFont="1" applyFill="1" applyBorder="1" applyAlignment="1">
      <alignment horizontal="center" vertical="center" wrapText="1"/>
    </xf>
    <xf numFmtId="0" fontId="1" fillId="4" borderId="2" xfId="1" applyFont="1" applyFill="1" applyBorder="1" applyAlignment="1">
      <alignment horizontal="left" vertical="center" wrapText="1"/>
    </xf>
    <xf numFmtId="0" fontId="1" fillId="4" borderId="5" xfId="1" applyFont="1" applyFill="1" applyBorder="1" applyAlignment="1">
      <alignment horizontal="left" vertical="center" wrapText="1"/>
    </xf>
    <xf numFmtId="0" fontId="1" fillId="4" borderId="9" xfId="1" applyFont="1" applyFill="1" applyBorder="1" applyAlignment="1">
      <alignment horizontal="left" vertical="center" wrapText="1"/>
    </xf>
    <xf numFmtId="0" fontId="9" fillId="4" borderId="21" xfId="1" applyFont="1" applyFill="1" applyBorder="1" applyAlignment="1">
      <alignment horizontal="center" vertical="center" wrapText="1"/>
    </xf>
    <xf numFmtId="0" fontId="1" fillId="4" borderId="8" xfId="1" applyFont="1" applyFill="1" applyBorder="1" applyAlignment="1">
      <alignment horizontal="left" vertical="center" wrapText="1"/>
    </xf>
    <xf numFmtId="0" fontId="1" fillId="4" borderId="22" xfId="1" applyFont="1" applyFill="1" applyBorder="1" applyAlignment="1">
      <alignment horizontal="left" vertical="center" wrapText="1"/>
    </xf>
    <xf numFmtId="0" fontId="1" fillId="4" borderId="23" xfId="1" applyFont="1" applyFill="1" applyBorder="1" applyAlignment="1">
      <alignment horizontal="left" vertical="center" wrapText="1"/>
    </xf>
    <xf numFmtId="0" fontId="1" fillId="4" borderId="17" xfId="1" applyFont="1" applyFill="1" applyBorder="1" applyAlignment="1">
      <alignment horizontal="left" vertical="center" wrapText="1"/>
    </xf>
    <xf numFmtId="0" fontId="1" fillId="4" borderId="19" xfId="1" applyFont="1" applyFill="1" applyBorder="1" applyAlignment="1">
      <alignment horizontal="left" vertical="center" wrapText="1"/>
    </xf>
    <xf numFmtId="0" fontId="1" fillId="4" borderId="8" xfId="1" applyFont="1" applyFill="1" applyBorder="1" applyAlignment="1">
      <alignment horizontal="center" vertical="center" wrapText="1"/>
    </xf>
    <xf numFmtId="0" fontId="1" fillId="4" borderId="25" xfId="1" applyFont="1" applyFill="1" applyBorder="1" applyAlignment="1">
      <alignment horizontal="center" vertical="center" wrapText="1"/>
    </xf>
    <xf numFmtId="0" fontId="9" fillId="4" borderId="27" xfId="1" applyFont="1" applyFill="1" applyBorder="1" applyAlignment="1">
      <alignment horizontal="left" vertical="center" wrapText="1"/>
    </xf>
    <xf numFmtId="0" fontId="1" fillId="4" borderId="28" xfId="1" applyFont="1" applyFill="1" applyBorder="1" applyAlignment="1">
      <alignment horizontal="left" vertical="center" wrapText="1"/>
    </xf>
    <xf numFmtId="0" fontId="1" fillId="4" borderId="3" xfId="1" applyFont="1" applyFill="1" applyBorder="1" applyAlignment="1">
      <alignment horizontal="left" vertical="center" wrapText="1"/>
    </xf>
    <xf numFmtId="0" fontId="1" fillId="4" borderId="29" xfId="1" applyFont="1" applyFill="1" applyBorder="1" applyAlignment="1">
      <alignment horizontal="left" vertical="center" wrapText="1"/>
    </xf>
    <xf numFmtId="0" fontId="1" fillId="4" borderId="25" xfId="1" applyFont="1" applyFill="1" applyBorder="1" applyAlignment="1">
      <alignment horizontal="left" vertical="center" wrapText="1"/>
    </xf>
    <xf numFmtId="0" fontId="19" fillId="0" borderId="0" xfId="0" applyFont="1" applyAlignment="1">
      <alignment vertical="center" wrapText="1"/>
    </xf>
    <xf numFmtId="0" fontId="0" fillId="0" borderId="0" xfId="0" applyAlignment="1">
      <alignment vertical="center"/>
    </xf>
    <xf numFmtId="0" fontId="24" fillId="0" borderId="0" xfId="0" applyFont="1" applyAlignment="1">
      <alignment vertical="center"/>
    </xf>
    <xf numFmtId="0" fontId="20" fillId="0" borderId="0" xfId="0" applyFont="1" applyAlignment="1">
      <alignment vertical="center" wrapText="1"/>
    </xf>
    <xf numFmtId="0" fontId="14" fillId="4" borderId="4" xfId="1" applyFont="1" applyFill="1" applyBorder="1" applyAlignment="1">
      <alignment horizontal="right" vertical="center" wrapText="1"/>
    </xf>
    <xf numFmtId="0" fontId="14" fillId="4" borderId="16" xfId="1" applyFont="1" applyFill="1" applyBorder="1" applyAlignment="1">
      <alignment horizontal="left" vertical="center" wrapText="1"/>
    </xf>
    <xf numFmtId="0" fontId="14" fillId="4" borderId="7" xfId="1" applyFont="1" applyFill="1" applyBorder="1" applyAlignment="1">
      <alignment horizontal="left" vertical="center" wrapText="1"/>
    </xf>
    <xf numFmtId="0" fontId="14" fillId="4" borderId="26" xfId="1" applyFont="1" applyFill="1" applyBorder="1" applyAlignment="1">
      <alignment horizontal="left" vertical="center" wrapText="1"/>
    </xf>
    <xf numFmtId="49" fontId="1" fillId="0" borderId="41" xfId="1" applyNumberFormat="1" applyFont="1" applyBorder="1" applyAlignment="1">
      <alignment horizontal="left" vertical="center" wrapText="1"/>
    </xf>
    <xf numFmtId="49" fontId="1" fillId="0" borderId="17" xfId="1" applyNumberFormat="1" applyFont="1" applyBorder="1" applyAlignment="1">
      <alignment horizontal="left" vertical="center" wrapText="1"/>
    </xf>
    <xf numFmtId="0" fontId="1" fillId="0" borderId="48" xfId="1" applyFont="1" applyBorder="1" applyAlignment="1">
      <alignment vertical="center" wrapText="1"/>
    </xf>
    <xf numFmtId="0" fontId="1" fillId="0" borderId="47" xfId="1" applyFont="1" applyBorder="1" applyAlignment="1">
      <alignment vertical="center" wrapText="1"/>
    </xf>
    <xf numFmtId="0" fontId="1" fillId="0" borderId="47" xfId="1" applyFont="1" applyBorder="1" applyAlignment="1">
      <alignment horizontal="left" vertical="center" wrapText="1"/>
    </xf>
    <xf numFmtId="0" fontId="1" fillId="0" borderId="48" xfId="1" applyFont="1" applyBorder="1" applyAlignment="1">
      <alignment horizontal="left" vertical="center" wrapText="1"/>
    </xf>
    <xf numFmtId="49" fontId="1" fillId="0" borderId="47" xfId="1" applyNumberFormat="1" applyFont="1" applyBorder="1" applyAlignment="1">
      <alignment horizontal="left" vertical="center" wrapText="1"/>
    </xf>
    <xf numFmtId="49" fontId="1" fillId="0" borderId="50" xfId="1" applyNumberFormat="1" applyFont="1" applyBorder="1" applyAlignment="1">
      <alignment horizontal="left" vertical="center" wrapText="1"/>
    </xf>
    <xf numFmtId="49" fontId="1" fillId="0" borderId="54" xfId="1" applyNumberFormat="1" applyFont="1" applyBorder="1" applyAlignment="1">
      <alignment horizontal="left" vertical="center" wrapText="1"/>
    </xf>
    <xf numFmtId="0" fontId="1" fillId="0" borderId="55" xfId="1" applyFont="1" applyBorder="1" applyAlignment="1">
      <alignment vertical="center" wrapText="1"/>
    </xf>
    <xf numFmtId="0" fontId="25" fillId="4" borderId="8" xfId="1" applyFont="1" applyFill="1" applyBorder="1" applyAlignment="1">
      <alignment horizontal="center" vertical="center" wrapText="1"/>
    </xf>
    <xf numFmtId="0" fontId="14" fillId="4" borderId="24" xfId="1" applyFont="1" applyFill="1" applyBorder="1" applyAlignment="1">
      <alignment horizontal="right" vertical="center" wrapText="1"/>
    </xf>
    <xf numFmtId="0" fontId="14" fillId="4" borderId="7" xfId="1" applyFont="1" applyFill="1" applyBorder="1" applyAlignment="1">
      <alignment horizontal="right" vertical="center" wrapText="1"/>
    </xf>
    <xf numFmtId="0" fontId="14" fillId="4" borderId="16" xfId="1" applyFont="1" applyFill="1" applyBorder="1" applyAlignment="1">
      <alignment horizontal="right" vertical="center" wrapText="1"/>
    </xf>
    <xf numFmtId="0" fontId="14" fillId="4" borderId="1" xfId="1" applyFont="1" applyFill="1" applyBorder="1" applyAlignment="1">
      <alignment horizontal="right" vertical="center" wrapText="1"/>
    </xf>
    <xf numFmtId="0" fontId="14" fillId="4" borderId="10" xfId="1" applyFont="1" applyFill="1" applyBorder="1" applyAlignment="1">
      <alignment horizontal="right" vertical="center" wrapText="1"/>
    </xf>
    <xf numFmtId="0" fontId="14" fillId="4" borderId="3" xfId="1" applyFont="1" applyFill="1" applyBorder="1" applyAlignment="1">
      <alignment horizontal="right" vertical="center" wrapText="1"/>
    </xf>
    <xf numFmtId="0" fontId="14" fillId="4" borderId="17" xfId="1" applyFont="1" applyFill="1" applyBorder="1" applyAlignment="1">
      <alignment horizontal="right" vertical="center" wrapText="1"/>
    </xf>
    <xf numFmtId="49" fontId="14" fillId="4" borderId="3" xfId="1" applyNumberFormat="1" applyFont="1" applyFill="1" applyBorder="1" applyAlignment="1">
      <alignment horizontal="right" vertical="center" wrapText="1"/>
    </xf>
    <xf numFmtId="49" fontId="14" fillId="4" borderId="7" xfId="1" applyNumberFormat="1" applyFont="1" applyFill="1" applyBorder="1" applyAlignment="1">
      <alignment horizontal="right" vertical="center" wrapText="1"/>
    </xf>
    <xf numFmtId="49" fontId="14" fillId="4" borderId="51" xfId="1" applyNumberFormat="1" applyFont="1" applyFill="1" applyBorder="1" applyAlignment="1">
      <alignment horizontal="right" vertical="center" wrapText="1"/>
    </xf>
    <xf numFmtId="49" fontId="14" fillId="4" borderId="47" xfId="1" applyNumberFormat="1" applyFont="1" applyFill="1" applyBorder="1" applyAlignment="1">
      <alignment horizontal="right" vertical="center" wrapText="1"/>
    </xf>
    <xf numFmtId="49" fontId="14" fillId="4" borderId="16" xfId="1" applyNumberFormat="1" applyFont="1" applyFill="1" applyBorder="1" applyAlignment="1">
      <alignment horizontal="right" vertical="center" wrapText="1"/>
    </xf>
    <xf numFmtId="49" fontId="14" fillId="4" borderId="20" xfId="1" applyNumberFormat="1" applyFont="1" applyFill="1" applyBorder="1" applyAlignment="1">
      <alignment horizontal="left" vertical="center" wrapText="1"/>
    </xf>
    <xf numFmtId="49" fontId="14" fillId="4" borderId="52" xfId="1" applyNumberFormat="1" applyFont="1" applyFill="1" applyBorder="1" applyAlignment="1">
      <alignment horizontal="right" vertical="center" wrapText="1"/>
    </xf>
    <xf numFmtId="49" fontId="14" fillId="4" borderId="48" xfId="1" applyNumberFormat="1" applyFont="1" applyFill="1" applyBorder="1" applyAlignment="1">
      <alignment horizontal="right" vertical="center" wrapText="1"/>
    </xf>
    <xf numFmtId="49" fontId="14" fillId="4" borderId="6" xfId="1" applyNumberFormat="1" applyFont="1" applyFill="1" applyBorder="1" applyAlignment="1">
      <alignment horizontal="right" vertical="center" wrapText="1"/>
    </xf>
    <xf numFmtId="49" fontId="14" fillId="4" borderId="10" xfId="1" applyNumberFormat="1" applyFont="1" applyFill="1" applyBorder="1" applyAlignment="1">
      <alignment horizontal="right" vertical="center" wrapText="1"/>
    </xf>
    <xf numFmtId="49" fontId="14" fillId="4" borderId="11" xfId="1" applyNumberFormat="1" applyFont="1" applyFill="1" applyBorder="1" applyAlignment="1">
      <alignment horizontal="right" vertical="center" wrapText="1"/>
    </xf>
    <xf numFmtId="0" fontId="14" fillId="4" borderId="18" xfId="1" applyFont="1" applyFill="1" applyBorder="1" applyAlignment="1">
      <alignment horizontal="right" vertical="center" wrapText="1"/>
    </xf>
    <xf numFmtId="0" fontId="14" fillId="4" borderId="19" xfId="1" applyFont="1" applyFill="1" applyBorder="1" applyAlignment="1">
      <alignment horizontal="right" vertical="center" wrapText="1"/>
    </xf>
    <xf numFmtId="0" fontId="14" fillId="4" borderId="6" xfId="1" applyFont="1" applyFill="1" applyBorder="1" applyAlignment="1">
      <alignment horizontal="right" vertical="center" wrapText="1"/>
    </xf>
    <xf numFmtId="0" fontId="26" fillId="4" borderId="7" xfId="1" applyFont="1" applyFill="1" applyBorder="1" applyAlignment="1">
      <alignment horizontal="left" vertical="center" wrapText="1"/>
    </xf>
    <xf numFmtId="0" fontId="14" fillId="4" borderId="3" xfId="1" applyFont="1" applyFill="1" applyBorder="1" applyAlignment="1">
      <alignment horizontal="center" vertical="center" wrapText="1"/>
    </xf>
    <xf numFmtId="0" fontId="14" fillId="4" borderId="4" xfId="1" applyFont="1" applyFill="1" applyBorder="1" applyAlignment="1">
      <alignment horizontal="center" vertical="center" wrapText="1"/>
    </xf>
    <xf numFmtId="0" fontId="14" fillId="4" borderId="6" xfId="1" applyFont="1" applyFill="1" applyBorder="1" applyAlignment="1">
      <alignment horizontal="center" vertical="center" wrapText="1"/>
    </xf>
    <xf numFmtId="0" fontId="25" fillId="4" borderId="25" xfId="1" applyFont="1" applyFill="1" applyBorder="1" applyAlignment="1">
      <alignment horizontal="center" vertical="center" wrapText="1"/>
    </xf>
    <xf numFmtId="0" fontId="14" fillId="4" borderId="2" xfId="1" applyFont="1" applyFill="1" applyBorder="1" applyAlignment="1">
      <alignment horizontal="center" vertical="center" wrapText="1"/>
    </xf>
    <xf numFmtId="0" fontId="14" fillId="4" borderId="5" xfId="1" applyFont="1" applyFill="1" applyBorder="1" applyAlignment="1">
      <alignment horizontal="center" vertical="center" wrapText="1"/>
    </xf>
    <xf numFmtId="164" fontId="28" fillId="0" borderId="58" xfId="0" applyNumberFormat="1" applyFont="1" applyBorder="1" applyAlignment="1">
      <alignment vertical="center" wrapText="1"/>
    </xf>
    <xf numFmtId="164" fontId="28" fillId="0" borderId="59" xfId="0" applyNumberFormat="1" applyFont="1" applyBorder="1" applyAlignment="1">
      <alignment vertical="center" wrapText="1"/>
    </xf>
    <xf numFmtId="0" fontId="28" fillId="0" borderId="0" xfId="0" applyFont="1" applyAlignment="1">
      <alignment vertical="center"/>
    </xf>
    <xf numFmtId="0" fontId="13" fillId="4" borderId="47" xfId="1" applyFont="1" applyFill="1" applyBorder="1" applyAlignment="1">
      <alignment horizontal="right" vertical="center" wrapText="1"/>
    </xf>
    <xf numFmtId="0" fontId="13" fillId="4" borderId="17" xfId="1" applyFont="1" applyFill="1" applyBorder="1" applyAlignment="1">
      <alignment horizontal="right" vertical="center" wrapText="1"/>
    </xf>
    <xf numFmtId="49" fontId="13" fillId="4" borderId="49" xfId="1" applyNumberFormat="1" applyFont="1" applyFill="1" applyBorder="1" applyAlignment="1">
      <alignment horizontal="right" vertical="center" wrapText="1"/>
    </xf>
    <xf numFmtId="49" fontId="13" fillId="4" borderId="19" xfId="1" applyNumberFormat="1" applyFont="1" applyFill="1" applyBorder="1" applyAlignment="1">
      <alignment horizontal="right" vertical="center" wrapText="1"/>
    </xf>
    <xf numFmtId="0" fontId="13" fillId="4" borderId="7" xfId="1" applyFont="1" applyFill="1" applyBorder="1" applyAlignment="1">
      <alignment horizontal="right" vertical="center" wrapText="1"/>
    </xf>
    <xf numFmtId="0" fontId="13" fillId="4" borderId="22" xfId="1" applyFont="1" applyFill="1" applyBorder="1" applyAlignment="1">
      <alignment horizontal="left" vertical="center" wrapText="1"/>
    </xf>
    <xf numFmtId="0" fontId="1" fillId="4" borderId="7" xfId="1" applyFont="1" applyFill="1" applyBorder="1" applyAlignment="1">
      <alignment horizontal="center" vertical="center" wrapText="1"/>
    </xf>
    <xf numFmtId="0" fontId="28" fillId="4" borderId="8" xfId="1" applyFont="1" applyFill="1" applyBorder="1" applyAlignment="1">
      <alignment horizontal="center" vertical="center" wrapText="1"/>
    </xf>
    <xf numFmtId="0" fontId="17" fillId="4" borderId="15" xfId="1" applyFont="1" applyFill="1" applyBorder="1" applyAlignment="1">
      <alignment horizontal="center" vertical="center" wrapText="1"/>
    </xf>
    <xf numFmtId="0" fontId="9" fillId="4" borderId="60" xfId="1" applyFont="1" applyFill="1" applyBorder="1" applyAlignment="1">
      <alignment horizontal="left" vertical="center" wrapText="1"/>
    </xf>
    <xf numFmtId="0" fontId="9" fillId="4" borderId="61" xfId="1" applyFont="1" applyFill="1" applyBorder="1" applyAlignment="1">
      <alignment horizontal="center" vertical="center" wrapText="1"/>
    </xf>
    <xf numFmtId="0" fontId="1" fillId="4" borderId="54" xfId="1" applyFont="1" applyFill="1" applyBorder="1" applyAlignment="1">
      <alignment horizontal="left" vertical="center" wrapText="1"/>
    </xf>
    <xf numFmtId="0" fontId="1" fillId="4" borderId="62" xfId="1" applyFont="1" applyFill="1" applyBorder="1" applyAlignment="1">
      <alignment horizontal="left" vertical="center" wrapText="1"/>
    </xf>
    <xf numFmtId="0" fontId="1" fillId="4" borderId="63" xfId="1" applyFont="1" applyFill="1" applyBorder="1" applyAlignment="1">
      <alignment horizontal="left" vertical="center" wrapText="1"/>
    </xf>
    <xf numFmtId="0" fontId="1" fillId="0" borderId="38" xfId="1" applyFont="1" applyBorder="1" applyAlignment="1">
      <alignment horizontal="center" vertical="center" wrapText="1"/>
    </xf>
    <xf numFmtId="0" fontId="31" fillId="0" borderId="24" xfId="1" applyFont="1" applyBorder="1" applyAlignment="1">
      <alignment horizontal="left" vertical="center" wrapText="1"/>
    </xf>
    <xf numFmtId="0" fontId="31" fillId="0" borderId="8" xfId="1" applyFont="1" applyBorder="1" applyAlignment="1">
      <alignment horizontal="left" vertical="center" wrapText="1"/>
    </xf>
    <xf numFmtId="0" fontId="31" fillId="0" borderId="36" xfId="1" applyFont="1" applyBorder="1" applyAlignment="1">
      <alignment horizontal="left" vertical="center" wrapText="1"/>
    </xf>
    <xf numFmtId="0" fontId="1" fillId="2" borderId="30" xfId="1" applyFont="1" applyFill="1" applyBorder="1" applyAlignment="1">
      <alignment horizontal="left" vertical="center" wrapText="1"/>
    </xf>
    <xf numFmtId="0" fontId="1" fillId="0" borderId="35" xfId="1" applyFont="1" applyBorder="1" applyAlignment="1">
      <alignment horizontal="left" vertical="center" wrapText="1"/>
    </xf>
    <xf numFmtId="0" fontId="1" fillId="0" borderId="7" xfId="1" applyFont="1" applyBorder="1" applyAlignment="1">
      <alignment horizontal="left" vertical="center" wrapText="1"/>
    </xf>
    <xf numFmtId="0" fontId="1" fillId="0" borderId="1" xfId="1" applyFont="1" applyBorder="1" applyAlignment="1">
      <alignment horizontal="left" vertical="center" wrapText="1"/>
    </xf>
    <xf numFmtId="0" fontId="1" fillId="0" borderId="2" xfId="1" applyFont="1" applyBorder="1" applyAlignment="1">
      <alignment horizontal="left" vertical="center" wrapText="1"/>
    </xf>
    <xf numFmtId="0" fontId="1" fillId="0" borderId="24" xfId="1" applyFont="1" applyBorder="1" applyAlignment="1">
      <alignment horizontal="left" vertical="center" wrapText="1"/>
    </xf>
    <xf numFmtId="0" fontId="1" fillId="0" borderId="8" xfId="1" applyFont="1" applyBorder="1" applyAlignment="1">
      <alignment horizontal="left" vertical="center" wrapText="1"/>
    </xf>
    <xf numFmtId="0" fontId="1" fillId="0" borderId="36" xfId="1" applyFont="1" applyBorder="1" applyAlignment="1">
      <alignment horizontal="left" vertical="center" wrapText="1"/>
    </xf>
    <xf numFmtId="0" fontId="1" fillId="0" borderId="31" xfId="1" applyFont="1" applyBorder="1" applyAlignment="1">
      <alignment horizontal="center" vertical="center" wrapText="1"/>
    </xf>
    <xf numFmtId="0" fontId="1" fillId="0" borderId="34" xfId="1" applyFont="1" applyBorder="1" applyAlignment="1">
      <alignment horizontal="left" vertical="center" wrapText="1"/>
    </xf>
    <xf numFmtId="0" fontId="1" fillId="2" borderId="2" xfId="1" applyFont="1" applyFill="1" applyBorder="1" applyAlignment="1">
      <alignment horizontal="left" vertical="center" wrapText="1"/>
    </xf>
    <xf numFmtId="9" fontId="1" fillId="0" borderId="35" xfId="1" applyNumberFormat="1" applyFont="1" applyBorder="1" applyAlignment="1">
      <alignment horizontal="left" vertical="center" wrapText="1"/>
    </xf>
    <xf numFmtId="0" fontId="17" fillId="5" borderId="14" xfId="1" applyFont="1" applyFill="1" applyBorder="1" applyAlignment="1">
      <alignment horizontal="center" vertical="center" wrapText="1"/>
    </xf>
    <xf numFmtId="0" fontId="17" fillId="5" borderId="57" xfId="1" applyFont="1" applyFill="1" applyBorder="1" applyAlignment="1">
      <alignment horizontal="center" vertical="center" wrapText="1"/>
    </xf>
    <xf numFmtId="0" fontId="17" fillId="5" borderId="15" xfId="1" applyFont="1" applyFill="1" applyBorder="1" applyAlignment="1">
      <alignment horizontal="center" vertical="center" wrapText="1"/>
    </xf>
    <xf numFmtId="0" fontId="17" fillId="5" borderId="27" xfId="1" applyFont="1" applyFill="1" applyBorder="1" applyAlignment="1">
      <alignment horizontal="center" vertical="center" wrapText="1"/>
    </xf>
    <xf numFmtId="0" fontId="17" fillId="5" borderId="40" xfId="1" applyFont="1" applyFill="1" applyBorder="1" applyAlignment="1">
      <alignment horizontal="center" vertical="center" wrapText="1"/>
    </xf>
    <xf numFmtId="0" fontId="17" fillId="5" borderId="32" xfId="1" applyFont="1" applyFill="1" applyBorder="1" applyAlignment="1">
      <alignment horizontal="center" vertical="center" wrapText="1"/>
    </xf>
    <xf numFmtId="0" fontId="1" fillId="2" borderId="2" xfId="1" applyFont="1" applyFill="1" applyBorder="1" applyAlignment="1">
      <alignment vertical="center" wrapText="1"/>
    </xf>
    <xf numFmtId="0" fontId="31" fillId="0" borderId="69" xfId="0" applyFont="1" applyBorder="1" applyAlignment="1">
      <alignment wrapText="1"/>
    </xf>
    <xf numFmtId="0" fontId="31" fillId="0" borderId="70" xfId="0" applyFont="1" applyBorder="1" applyAlignment="1">
      <alignment wrapText="1"/>
    </xf>
    <xf numFmtId="0" fontId="31" fillId="0" borderId="71" xfId="0" applyFont="1" applyBorder="1" applyAlignment="1">
      <alignment wrapText="1"/>
    </xf>
    <xf numFmtId="49" fontId="1" fillId="0" borderId="39" xfId="1" applyNumberFormat="1" applyFont="1" applyBorder="1" applyAlignment="1">
      <alignment horizontal="left" vertical="center" wrapText="1"/>
    </xf>
    <xf numFmtId="0" fontId="31" fillId="0" borderId="66" xfId="0" applyFont="1" applyBorder="1" applyAlignment="1">
      <alignment wrapText="1"/>
    </xf>
    <xf numFmtId="0" fontId="31" fillId="0" borderId="67" xfId="0" applyFont="1" applyBorder="1" applyAlignment="1">
      <alignment wrapText="1"/>
    </xf>
    <xf numFmtId="0" fontId="31" fillId="0" borderId="68" xfId="0" applyFont="1" applyBorder="1" applyAlignment="1">
      <alignment wrapText="1"/>
    </xf>
    <xf numFmtId="0" fontId="1" fillId="0" borderId="23" xfId="1" applyFont="1" applyBorder="1" applyAlignment="1">
      <alignment horizontal="center" vertical="center" wrapText="1"/>
    </xf>
    <xf numFmtId="0" fontId="31" fillId="0" borderId="35" xfId="1" applyFont="1" applyBorder="1" applyAlignment="1">
      <alignment horizontal="left" vertical="center" wrapText="1"/>
    </xf>
    <xf numFmtId="0" fontId="1" fillId="0" borderId="37" xfId="1" applyFont="1" applyBorder="1" applyAlignment="1">
      <alignment horizontal="left" vertical="center" wrapText="1"/>
    </xf>
    <xf numFmtId="0" fontId="9" fillId="4" borderId="30" xfId="1" applyFont="1" applyFill="1" applyBorder="1" applyAlignment="1">
      <alignment horizontal="center" vertical="center" wrapText="1"/>
    </xf>
    <xf numFmtId="0" fontId="1" fillId="2" borderId="48" xfId="1" applyFont="1" applyFill="1" applyBorder="1" applyAlignment="1">
      <alignment vertical="center" wrapText="1"/>
    </xf>
    <xf numFmtId="49" fontId="1" fillId="2" borderId="2" xfId="1" applyNumberFormat="1" applyFont="1" applyFill="1" applyBorder="1" applyAlignment="1">
      <alignment horizontal="center" vertical="center" wrapText="1"/>
    </xf>
    <xf numFmtId="0" fontId="18" fillId="2" borderId="56" xfId="1" applyFill="1" applyBorder="1" applyAlignment="1">
      <alignment vertical="center" wrapText="1"/>
    </xf>
    <xf numFmtId="0" fontId="18" fillId="2" borderId="5" xfId="1" applyFill="1" applyBorder="1" applyAlignment="1">
      <alignment vertical="center" wrapText="1"/>
    </xf>
    <xf numFmtId="49" fontId="1" fillId="0" borderId="45" xfId="1" applyNumberFormat="1" applyFont="1" applyBorder="1" applyAlignment="1">
      <alignment horizontal="left" vertical="center" wrapText="1"/>
    </xf>
    <xf numFmtId="49" fontId="1" fillId="0" borderId="35" xfId="1" applyNumberFormat="1" applyFont="1" applyBorder="1" applyAlignment="1">
      <alignment horizontal="left" vertical="center" wrapText="1"/>
    </xf>
    <xf numFmtId="49" fontId="1" fillId="0" borderId="46" xfId="1" applyNumberFormat="1" applyFont="1" applyBorder="1" applyAlignment="1">
      <alignment horizontal="left" vertical="center" wrapText="1"/>
    </xf>
    <xf numFmtId="49" fontId="1" fillId="0" borderId="53" xfId="1" applyNumberFormat="1" applyFont="1" applyBorder="1" applyAlignment="1">
      <alignment horizontal="left" vertical="center" wrapText="1"/>
    </xf>
    <xf numFmtId="0" fontId="1" fillId="0" borderId="45" xfId="1" applyFont="1" applyBorder="1" applyAlignment="1">
      <alignment vertical="center" wrapText="1"/>
    </xf>
    <xf numFmtId="0" fontId="1" fillId="0" borderId="35" xfId="1" applyFont="1" applyBorder="1" applyAlignment="1">
      <alignment vertical="center" wrapText="1"/>
    </xf>
    <xf numFmtId="0" fontId="1" fillId="0" borderId="46" xfId="1" applyFont="1" applyBorder="1" applyAlignment="1">
      <alignment vertical="center" wrapText="1"/>
    </xf>
    <xf numFmtId="0" fontId="1" fillId="0" borderId="36" xfId="1" applyFont="1" applyBorder="1" applyAlignment="1">
      <alignment vertical="center" wrapText="1"/>
    </xf>
    <xf numFmtId="0" fontId="31" fillId="0" borderId="45" xfId="1" applyFont="1" applyBorder="1" applyAlignment="1">
      <alignment vertical="center" wrapText="1"/>
    </xf>
    <xf numFmtId="0" fontId="31" fillId="0" borderId="35" xfId="1" applyFont="1" applyBorder="1" applyAlignment="1">
      <alignment vertical="center" wrapText="1"/>
    </xf>
    <xf numFmtId="0" fontId="31" fillId="0" borderId="46" xfId="1" applyFont="1" applyBorder="1" applyAlignment="1">
      <alignment vertical="center" wrapText="1"/>
    </xf>
    <xf numFmtId="0" fontId="30" fillId="0" borderId="38" xfId="1" applyFont="1" applyBorder="1" applyAlignment="1">
      <alignment horizontal="center" vertical="center" wrapText="1"/>
    </xf>
    <xf numFmtId="0" fontId="1" fillId="2" borderId="43" xfId="1" applyFont="1" applyFill="1" applyBorder="1" applyAlignment="1">
      <alignment horizontal="left" vertical="center" wrapText="1"/>
    </xf>
    <xf numFmtId="0" fontId="1" fillId="2" borderId="44" xfId="1" applyFont="1" applyFill="1" applyBorder="1" applyAlignment="1">
      <alignment horizontal="left" vertical="center" wrapText="1"/>
    </xf>
    <xf numFmtId="0" fontId="1" fillId="0" borderId="46" xfId="1" applyFont="1" applyBorder="1" applyAlignment="1">
      <alignment horizontal="left" vertical="center" wrapText="1"/>
    </xf>
    <xf numFmtId="0" fontId="1" fillId="0" borderId="64" xfId="1" applyFont="1" applyBorder="1" applyAlignment="1">
      <alignment horizontal="left" vertical="center" wrapText="1"/>
    </xf>
    <xf numFmtId="0" fontId="1" fillId="0" borderId="65" xfId="1" applyFont="1" applyBorder="1" applyAlignment="1">
      <alignment horizontal="left" vertical="center" wrapText="1"/>
    </xf>
    <xf numFmtId="0" fontId="2" fillId="0" borderId="0" xfId="1" applyFont="1" applyAlignment="1">
      <alignment horizontal="left" vertical="center"/>
    </xf>
    <xf numFmtId="0" fontId="4" fillId="0" borderId="23" xfId="1" applyFont="1" applyBorder="1" applyAlignment="1">
      <alignment vertical="center"/>
    </xf>
    <xf numFmtId="0" fontId="7" fillId="3" borderId="27" xfId="1" applyFont="1" applyFill="1" applyBorder="1" applyAlignment="1">
      <alignment horizontal="left" vertical="center" wrapText="1"/>
    </xf>
    <xf numFmtId="0" fontId="8" fillId="0" borderId="30" xfId="1" applyFont="1" applyBorder="1" applyAlignment="1">
      <alignment horizontal="left" vertical="center" wrapText="1"/>
    </xf>
    <xf numFmtId="0" fontId="1" fillId="0" borderId="2" xfId="1" applyFont="1" applyBorder="1" applyAlignment="1">
      <alignment vertical="center" wrapText="1"/>
    </xf>
    <xf numFmtId="0" fontId="1" fillId="2" borderId="9" xfId="1" applyFont="1" applyFill="1" applyBorder="1" applyAlignment="1">
      <alignment horizontal="center" vertical="center" wrapText="1"/>
    </xf>
    <xf numFmtId="0" fontId="1" fillId="0" borderId="38" xfId="1" applyFont="1" applyBorder="1" applyAlignment="1">
      <alignment horizontal="center" vertical="center" wrapText="1"/>
    </xf>
    <xf numFmtId="0" fontId="9" fillId="4" borderId="42" xfId="1" applyFont="1" applyFill="1" applyBorder="1" applyAlignment="1">
      <alignment horizontal="center" vertical="center" wrapText="1"/>
    </xf>
    <xf numFmtId="0" fontId="9" fillId="4" borderId="43" xfId="1" applyFont="1" applyFill="1" applyBorder="1" applyAlignment="1">
      <alignment horizontal="center" vertical="center" wrapText="1"/>
    </xf>
    <xf numFmtId="0" fontId="9" fillId="4" borderId="44" xfId="1" applyFont="1" applyFill="1" applyBorder="1" applyAlignment="1">
      <alignment horizontal="center" vertical="center" wrapText="1"/>
    </xf>
    <xf numFmtId="0" fontId="9" fillId="4" borderId="32" xfId="1" applyFont="1" applyFill="1" applyBorder="1" applyAlignment="1">
      <alignment horizontal="center" vertical="center" wrapText="1"/>
    </xf>
    <xf numFmtId="0" fontId="7" fillId="3" borderId="33" xfId="1" applyFont="1" applyFill="1" applyBorder="1" applyAlignment="1">
      <alignment horizontal="left" vertical="center" wrapText="1"/>
    </xf>
    <xf numFmtId="0" fontId="8" fillId="0" borderId="34" xfId="1" applyFont="1" applyBorder="1" applyAlignment="1">
      <alignment horizontal="left" vertical="center"/>
    </xf>
    <xf numFmtId="0" fontId="9" fillId="2" borderId="32" xfId="1" applyFont="1" applyFill="1" applyBorder="1" applyAlignment="1">
      <alignment vertical="center" wrapText="1"/>
    </xf>
    <xf numFmtId="0" fontId="1" fillId="0" borderId="35" xfId="1" applyFont="1" applyFill="1" applyBorder="1" applyAlignment="1">
      <alignment horizontal="left" vertical="center" wrapText="1"/>
    </xf>
  </cellXfs>
  <cellStyles count="2">
    <cellStyle name="Excel Built-in Normal" xfId="1" xr:uid="{00000000-0005-0000-0000-000000000000}"/>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7F7F7F"/>
      <rgbColor rgb="009999FF"/>
      <rgbColor rgb="00993366"/>
      <rgbColor rgb="00FFFFCC"/>
      <rgbColor rgb="00DBEEF4"/>
      <rgbColor rgb="00660066"/>
      <rgbColor rgb="00FF8080"/>
      <rgbColor rgb="000066CC"/>
      <rgbColor rgb="00B7DEE8"/>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E46C0A"/>
      <rgbColor rgb="00666699"/>
      <rgbColor rgb="00969696"/>
      <rgbColor rgb="0017375E"/>
      <rgbColor rgb="00339966"/>
      <rgbColor rgb="00003300"/>
      <rgbColor rgb="00333300"/>
      <rgbColor rgb="00993300"/>
      <rgbColor rgb="00993366"/>
      <rgbColor rgb="00333399"/>
      <rgbColor rgb="00333333"/>
    </indexedColors>
    <mruColors>
      <color rgb="FFBEE8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triangl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triangl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9"/>
  <sheetViews>
    <sheetView tabSelected="1" topLeftCell="A92" zoomScale="120" zoomScaleNormal="120" zoomScaleSheetLayoutView="100" workbookViewId="0">
      <selection activeCell="C99" sqref="C99:H99"/>
    </sheetView>
  </sheetViews>
  <sheetFormatPr defaultColWidth="9.109375" defaultRowHeight="30" customHeight="1" x14ac:dyDescent="0.25"/>
  <cols>
    <col min="1" max="1" width="28.6640625" style="1" customWidth="1"/>
    <col min="2" max="2" width="8.5546875" style="1" customWidth="1"/>
    <col min="3" max="8" width="12.88671875" style="2" customWidth="1"/>
    <col min="9" max="16384" width="9.109375" style="3"/>
  </cols>
  <sheetData>
    <row r="1" spans="1:8" s="5" customFormat="1" ht="24" x14ac:dyDescent="0.25">
      <c r="A1" s="173" t="s">
        <v>0</v>
      </c>
      <c r="B1" s="173"/>
      <c r="C1" s="173"/>
      <c r="D1" s="173"/>
      <c r="E1" s="173"/>
      <c r="F1" s="173"/>
      <c r="G1" s="173"/>
      <c r="H1" s="4">
        <v>2026</v>
      </c>
    </row>
    <row r="2" spans="1:8" s="6" customFormat="1" ht="13.5" customHeight="1" thickBot="1" x14ac:dyDescent="0.3">
      <c r="A2" s="174" t="s">
        <v>1</v>
      </c>
      <c r="B2" s="174"/>
      <c r="C2" s="174"/>
      <c r="D2" s="174"/>
      <c r="E2" s="174"/>
      <c r="F2" s="174"/>
      <c r="G2" s="174"/>
      <c r="H2" s="174"/>
    </row>
    <row r="3" spans="1:8" s="7" customFormat="1" ht="23.25" customHeight="1" x14ac:dyDescent="0.25">
      <c r="A3" s="175" t="s">
        <v>2</v>
      </c>
      <c r="B3" s="175"/>
      <c r="C3" s="176">
        <v>92</v>
      </c>
      <c r="D3" s="176"/>
      <c r="E3" s="176"/>
      <c r="F3" s="176"/>
      <c r="G3" s="176"/>
      <c r="H3" s="176"/>
    </row>
    <row r="4" spans="1:8" s="7" customFormat="1" ht="28.2" customHeight="1" x14ac:dyDescent="0.25">
      <c r="A4" s="184" t="s">
        <v>3</v>
      </c>
      <c r="B4" s="184"/>
      <c r="C4" s="185" t="s">
        <v>4</v>
      </c>
      <c r="D4" s="185"/>
      <c r="E4" s="185"/>
      <c r="F4" s="185"/>
      <c r="G4" s="185"/>
      <c r="H4" s="185"/>
    </row>
    <row r="5" spans="1:8" ht="6.75" customHeight="1" x14ac:dyDescent="0.25">
      <c r="A5" s="130"/>
      <c r="B5" s="130"/>
      <c r="C5" s="130"/>
      <c r="D5" s="130"/>
      <c r="E5" s="130"/>
      <c r="F5" s="130"/>
      <c r="G5" s="130"/>
      <c r="H5" s="130"/>
    </row>
    <row r="6" spans="1:8" s="2" customFormat="1" ht="13.5" customHeight="1" x14ac:dyDescent="0.25">
      <c r="A6" s="31" t="s">
        <v>5</v>
      </c>
      <c r="B6" s="32" t="s">
        <v>6</v>
      </c>
      <c r="C6" s="186"/>
      <c r="D6" s="186"/>
      <c r="E6" s="186"/>
      <c r="F6" s="186"/>
      <c r="G6" s="186"/>
      <c r="H6" s="186"/>
    </row>
    <row r="7" spans="1:8" s="2" customFormat="1" ht="13.5" customHeight="1" x14ac:dyDescent="0.25">
      <c r="A7" s="33" t="s">
        <v>7</v>
      </c>
      <c r="B7" s="99" t="s">
        <v>8</v>
      </c>
      <c r="C7" s="79" t="s">
        <v>9</v>
      </c>
      <c r="D7" s="8">
        <v>2997.2</v>
      </c>
      <c r="E7" s="76" t="s">
        <v>10</v>
      </c>
      <c r="F7" s="8">
        <v>1442.72</v>
      </c>
      <c r="G7" s="76" t="s">
        <v>11</v>
      </c>
      <c r="H7" s="9">
        <v>1206.5</v>
      </c>
    </row>
    <row r="8" spans="1:8" s="2" customFormat="1" ht="13.5" customHeight="1" x14ac:dyDescent="0.25">
      <c r="A8" s="33" t="s">
        <v>12</v>
      </c>
      <c r="B8" s="99" t="s">
        <v>8</v>
      </c>
      <c r="C8" s="79" t="s">
        <v>13</v>
      </c>
      <c r="D8" s="10">
        <v>1530</v>
      </c>
      <c r="E8" s="78" t="s">
        <v>14</v>
      </c>
      <c r="F8" s="10">
        <v>1245</v>
      </c>
      <c r="G8" s="76" t="s">
        <v>15</v>
      </c>
      <c r="H8" s="9">
        <v>1245</v>
      </c>
    </row>
    <row r="9" spans="1:8" s="2" customFormat="1" ht="13.5" customHeight="1" x14ac:dyDescent="0.25">
      <c r="A9" s="34" t="s">
        <v>16</v>
      </c>
      <c r="B9" s="100" t="s">
        <v>8</v>
      </c>
      <c r="C9" s="91" t="s">
        <v>17</v>
      </c>
      <c r="D9" s="11">
        <v>275</v>
      </c>
      <c r="E9" s="58" t="s">
        <v>18</v>
      </c>
      <c r="F9" s="177" t="s">
        <v>19</v>
      </c>
      <c r="G9" s="177"/>
      <c r="H9" s="177"/>
    </row>
    <row r="10" spans="1:8" s="2" customFormat="1" ht="13.5" customHeight="1" x14ac:dyDescent="0.25">
      <c r="A10" s="34" t="s">
        <v>20</v>
      </c>
      <c r="B10" s="100" t="s">
        <v>21</v>
      </c>
      <c r="C10" s="91" t="s">
        <v>22</v>
      </c>
      <c r="D10" s="11">
        <v>96.2</v>
      </c>
      <c r="E10" s="58" t="s">
        <v>23</v>
      </c>
      <c r="F10" s="11">
        <v>112.9</v>
      </c>
      <c r="G10" s="58" t="s">
        <v>24</v>
      </c>
      <c r="H10" s="12">
        <v>209.1</v>
      </c>
    </row>
    <row r="11" spans="1:8" s="2" customFormat="1" ht="13.5" customHeight="1" x14ac:dyDescent="0.25">
      <c r="A11" s="59" t="s">
        <v>25</v>
      </c>
      <c r="B11" s="36"/>
      <c r="C11" s="92" t="s">
        <v>26</v>
      </c>
      <c r="D11" s="13">
        <v>46</v>
      </c>
      <c r="E11" s="93" t="s">
        <v>27</v>
      </c>
      <c r="F11" s="13">
        <v>50</v>
      </c>
      <c r="G11" s="178"/>
      <c r="H11" s="178"/>
    </row>
    <row r="12" spans="1:8" s="2" customFormat="1" ht="6.75" customHeight="1" thickBot="1" x14ac:dyDescent="0.3">
      <c r="A12" s="1"/>
      <c r="B12" s="130"/>
      <c r="C12" s="179"/>
      <c r="D12" s="179"/>
      <c r="E12" s="179"/>
      <c r="F12" s="130"/>
      <c r="G12" s="130"/>
      <c r="H12" s="130"/>
    </row>
    <row r="13" spans="1:8" s="2" customFormat="1" ht="13.5" customHeight="1" x14ac:dyDescent="0.25">
      <c r="A13" s="31" t="s">
        <v>28</v>
      </c>
      <c r="B13" s="41" t="s">
        <v>6</v>
      </c>
      <c r="C13" s="180" t="s">
        <v>29</v>
      </c>
      <c r="D13" s="181"/>
      <c r="E13" s="182"/>
      <c r="F13" s="183" t="s">
        <v>30</v>
      </c>
      <c r="G13" s="183"/>
      <c r="H13" s="183"/>
    </row>
    <row r="14" spans="1:8" s="2" customFormat="1" ht="13.5" customHeight="1" x14ac:dyDescent="0.25">
      <c r="A14" s="33" t="s">
        <v>31</v>
      </c>
      <c r="B14" s="37"/>
      <c r="C14" s="160" t="s">
        <v>32</v>
      </c>
      <c r="D14" s="161"/>
      <c r="E14" s="162"/>
      <c r="F14" s="163" t="str">
        <f>C14</f>
        <v>16 x 7.5 R20 Hoosier</v>
      </c>
      <c r="G14" s="163"/>
      <c r="H14" s="163"/>
    </row>
    <row r="15" spans="1:8" s="103" customFormat="1" ht="24" customHeight="1" x14ac:dyDescent="0.25">
      <c r="A15" s="33" t="s">
        <v>33</v>
      </c>
      <c r="B15" s="110" t="s">
        <v>34</v>
      </c>
      <c r="C15" s="108" t="s">
        <v>35</v>
      </c>
      <c r="D15" s="101">
        <v>10</v>
      </c>
      <c r="E15" s="102">
        <v>7</v>
      </c>
      <c r="F15" s="108" t="s">
        <v>36</v>
      </c>
      <c r="G15" s="101">
        <v>10</v>
      </c>
      <c r="H15" s="102">
        <v>7</v>
      </c>
    </row>
    <row r="16" spans="1:8" s="2" customFormat="1" ht="13.5" customHeight="1" x14ac:dyDescent="0.25">
      <c r="A16" s="33" t="s">
        <v>37</v>
      </c>
      <c r="B16" s="37"/>
      <c r="C16" s="160" t="s">
        <v>38</v>
      </c>
      <c r="D16" s="161"/>
      <c r="E16" s="162"/>
      <c r="F16" s="164" t="s">
        <v>38</v>
      </c>
      <c r="G16" s="165"/>
      <c r="H16" s="166"/>
    </row>
    <row r="17" spans="1:8" s="2" customFormat="1" ht="13.5" customHeight="1" x14ac:dyDescent="0.25">
      <c r="A17" s="33" t="s">
        <v>39</v>
      </c>
      <c r="B17" s="37"/>
      <c r="C17" s="160" t="s">
        <v>40</v>
      </c>
      <c r="D17" s="161"/>
      <c r="E17" s="162"/>
      <c r="F17" s="163" t="s">
        <v>40</v>
      </c>
      <c r="G17" s="163"/>
      <c r="H17" s="163"/>
    </row>
    <row r="18" spans="1:8" s="2" customFormat="1" ht="24" customHeight="1" x14ac:dyDescent="0.25">
      <c r="A18" s="33" t="s">
        <v>41</v>
      </c>
      <c r="B18" s="95" t="s">
        <v>8</v>
      </c>
      <c r="C18" s="104" t="s">
        <v>42</v>
      </c>
      <c r="D18" s="10">
        <v>25.4</v>
      </c>
      <c r="E18" s="64">
        <v>25.4</v>
      </c>
      <c r="F18" s="105" t="s">
        <v>43</v>
      </c>
      <c r="G18" s="10">
        <v>25.4</v>
      </c>
      <c r="H18" s="64">
        <v>25.4</v>
      </c>
    </row>
    <row r="19" spans="1:8" s="2" customFormat="1" ht="13.5" customHeight="1" x14ac:dyDescent="0.25">
      <c r="A19" s="33" t="s">
        <v>44</v>
      </c>
      <c r="B19" s="95" t="s">
        <v>45</v>
      </c>
      <c r="C19" s="65">
        <v>39.4</v>
      </c>
      <c r="D19" s="140"/>
      <c r="E19" s="152"/>
      <c r="F19" s="14">
        <v>43.4</v>
      </c>
      <c r="G19" s="140"/>
      <c r="H19" s="140"/>
    </row>
    <row r="20" spans="1:8" s="2" customFormat="1" ht="13.5" customHeight="1" x14ac:dyDescent="0.25">
      <c r="A20" s="33" t="s">
        <v>46</v>
      </c>
      <c r="B20" s="95" t="s">
        <v>47</v>
      </c>
      <c r="C20" s="65">
        <v>789.1</v>
      </c>
      <c r="D20" s="140"/>
      <c r="E20" s="152"/>
      <c r="F20" s="14">
        <v>1084.56</v>
      </c>
      <c r="G20" s="140"/>
      <c r="H20" s="140"/>
    </row>
    <row r="21" spans="1:8" s="2" customFormat="1" ht="13.5" customHeight="1" x14ac:dyDescent="0.25">
      <c r="A21" s="33" t="s">
        <v>48</v>
      </c>
      <c r="B21" s="95" t="s">
        <v>49</v>
      </c>
      <c r="C21" s="65">
        <v>4.5</v>
      </c>
      <c r="D21" s="140"/>
      <c r="E21" s="152"/>
      <c r="F21" s="14">
        <v>4</v>
      </c>
      <c r="G21" s="140"/>
      <c r="H21" s="140"/>
    </row>
    <row r="22" spans="1:8" s="2" customFormat="1" ht="13.5" customHeight="1" x14ac:dyDescent="0.25">
      <c r="A22" s="33" t="s">
        <v>50</v>
      </c>
      <c r="B22" s="95" t="s">
        <v>51</v>
      </c>
      <c r="C22" s="66" t="s">
        <v>52</v>
      </c>
      <c r="D22" s="78" t="s">
        <v>53</v>
      </c>
      <c r="E22" s="67">
        <v>40</v>
      </c>
      <c r="F22" s="66" t="s">
        <v>52</v>
      </c>
      <c r="G22" s="78" t="s">
        <v>53</v>
      </c>
      <c r="H22" s="16">
        <v>40</v>
      </c>
    </row>
    <row r="23" spans="1:8" s="2" customFormat="1" ht="13.5" customHeight="1" x14ac:dyDescent="0.25">
      <c r="A23" s="33" t="s">
        <v>54</v>
      </c>
      <c r="B23" s="95" t="s">
        <v>51</v>
      </c>
      <c r="C23" s="66" t="s">
        <v>52</v>
      </c>
      <c r="D23" s="78" t="s">
        <v>53</v>
      </c>
      <c r="E23" s="67">
        <v>40</v>
      </c>
      <c r="F23" s="66" t="s">
        <v>52</v>
      </c>
      <c r="G23" s="78" t="s">
        <v>53</v>
      </c>
      <c r="H23" s="16">
        <v>40</v>
      </c>
    </row>
    <row r="24" spans="1:8" s="2" customFormat="1" ht="13.5" customHeight="1" x14ac:dyDescent="0.25">
      <c r="A24" s="33" t="s">
        <v>55</v>
      </c>
      <c r="B24" s="95" t="s">
        <v>56</v>
      </c>
      <c r="C24" s="66" t="s">
        <v>57</v>
      </c>
      <c r="D24" s="78" t="s">
        <v>58</v>
      </c>
      <c r="E24" s="67" t="s">
        <v>59</v>
      </c>
      <c r="F24" s="17" t="s">
        <v>60</v>
      </c>
      <c r="G24" s="78" t="s">
        <v>58</v>
      </c>
      <c r="H24" s="16" t="s">
        <v>59</v>
      </c>
    </row>
    <row r="25" spans="1:8" s="2" customFormat="1" ht="13.5" customHeight="1" x14ac:dyDescent="0.25">
      <c r="A25" s="33" t="s">
        <v>61</v>
      </c>
      <c r="B25" s="95" t="s">
        <v>62</v>
      </c>
      <c r="C25" s="66">
        <v>34.700000000000003</v>
      </c>
      <c r="D25" s="140"/>
      <c r="E25" s="152"/>
      <c r="F25" s="17">
        <v>32.22</v>
      </c>
      <c r="G25" s="140"/>
      <c r="H25" s="140"/>
    </row>
    <row r="26" spans="1:8" s="2" customFormat="1" ht="13.5" customHeight="1" x14ac:dyDescent="0.25">
      <c r="A26" s="33" t="s">
        <v>63</v>
      </c>
      <c r="B26" s="95" t="s">
        <v>64</v>
      </c>
      <c r="C26" s="66">
        <v>0.623</v>
      </c>
      <c r="D26" s="140"/>
      <c r="E26" s="152"/>
      <c r="F26" s="17">
        <v>0.65</v>
      </c>
      <c r="G26" s="140"/>
      <c r="H26" s="140"/>
    </row>
    <row r="27" spans="1:8" s="2" customFormat="1" ht="13.5" customHeight="1" x14ac:dyDescent="0.25">
      <c r="A27" s="33" t="s">
        <v>65</v>
      </c>
      <c r="B27" s="95" t="s">
        <v>66</v>
      </c>
      <c r="C27" s="68" t="s">
        <v>67</v>
      </c>
      <c r="D27" s="140"/>
      <c r="E27" s="152"/>
      <c r="F27" s="18" t="s">
        <v>67</v>
      </c>
      <c r="G27" s="140"/>
      <c r="H27" s="140"/>
    </row>
    <row r="28" spans="1:8" s="2" customFormat="1" ht="13.5" customHeight="1" x14ac:dyDescent="0.25">
      <c r="A28" s="33" t="s">
        <v>68</v>
      </c>
      <c r="B28" s="95" t="s">
        <v>66</v>
      </c>
      <c r="C28" s="68" t="s">
        <v>69</v>
      </c>
      <c r="D28" s="140"/>
      <c r="E28" s="152"/>
      <c r="F28" s="18" t="s">
        <v>69</v>
      </c>
      <c r="G28" s="140"/>
      <c r="H28" s="140"/>
    </row>
    <row r="29" spans="1:8" s="2" customFormat="1" ht="13.5" customHeight="1" x14ac:dyDescent="0.25">
      <c r="A29" s="33" t="s">
        <v>70</v>
      </c>
      <c r="B29" s="95"/>
      <c r="C29" s="156" t="s">
        <v>71</v>
      </c>
      <c r="D29" s="157"/>
      <c r="E29" s="158"/>
      <c r="F29" s="156" t="s">
        <v>71</v>
      </c>
      <c r="G29" s="157"/>
      <c r="H29" s="158"/>
    </row>
    <row r="30" spans="1:8" s="2" customFormat="1" ht="13.5" customHeight="1" x14ac:dyDescent="0.25">
      <c r="A30" s="33" t="s">
        <v>72</v>
      </c>
      <c r="B30" s="95" t="s">
        <v>73</v>
      </c>
      <c r="C30" s="68" t="s">
        <v>74</v>
      </c>
      <c r="D30" s="140"/>
      <c r="E30" s="152"/>
      <c r="F30" s="18" t="s">
        <v>75</v>
      </c>
      <c r="G30" s="140"/>
      <c r="H30" s="140"/>
    </row>
    <row r="31" spans="1:8" s="2" customFormat="1" ht="13.5" customHeight="1" x14ac:dyDescent="0.25">
      <c r="A31" s="60" t="s">
        <v>76</v>
      </c>
      <c r="B31" s="95" t="s">
        <v>8</v>
      </c>
      <c r="C31" s="68" t="s">
        <v>77</v>
      </c>
      <c r="D31" s="140"/>
      <c r="E31" s="152"/>
      <c r="F31" s="18" t="s">
        <v>78</v>
      </c>
      <c r="G31" s="140"/>
      <c r="H31" s="140"/>
    </row>
    <row r="32" spans="1:8" s="2" customFormat="1" ht="25.5" customHeight="1" x14ac:dyDescent="0.25">
      <c r="A32" s="33" t="s">
        <v>79</v>
      </c>
      <c r="B32" s="95" t="s">
        <v>8</v>
      </c>
      <c r="C32" s="106" t="s">
        <v>80</v>
      </c>
      <c r="D32" s="19" t="s">
        <v>81</v>
      </c>
      <c r="E32" s="69" t="s">
        <v>82</v>
      </c>
      <c r="F32" s="107" t="s">
        <v>83</v>
      </c>
      <c r="G32" s="21" t="s">
        <v>84</v>
      </c>
      <c r="H32" s="20" t="s">
        <v>85</v>
      </c>
    </row>
    <row r="33" spans="1:8" s="2" customFormat="1" ht="13.5" customHeight="1" x14ac:dyDescent="0.25">
      <c r="A33" s="33" t="s">
        <v>86</v>
      </c>
      <c r="B33" s="95"/>
      <c r="C33" s="82" t="s">
        <v>87</v>
      </c>
      <c r="D33" s="22" t="s">
        <v>88</v>
      </c>
      <c r="E33" s="86" t="s">
        <v>89</v>
      </c>
      <c r="F33" s="62" t="s">
        <v>90</v>
      </c>
      <c r="G33" s="90" t="s">
        <v>91</v>
      </c>
      <c r="H33" s="23">
        <v>20.32</v>
      </c>
    </row>
    <row r="34" spans="1:8" s="2" customFormat="1" ht="13.5" customHeight="1" x14ac:dyDescent="0.25">
      <c r="A34" s="33" t="s">
        <v>92</v>
      </c>
      <c r="B34" s="95"/>
      <c r="C34" s="83" t="s">
        <v>93</v>
      </c>
      <c r="D34" s="24" t="s">
        <v>94</v>
      </c>
      <c r="E34" s="87" t="s">
        <v>95</v>
      </c>
      <c r="F34" s="63" t="s">
        <v>96</v>
      </c>
      <c r="G34" s="153"/>
      <c r="H34" s="153"/>
    </row>
    <row r="35" spans="1:8" s="2" customFormat="1" ht="13.5" customHeight="1" x14ac:dyDescent="0.25">
      <c r="A35" s="33" t="s">
        <v>97</v>
      </c>
      <c r="B35" s="95" t="s">
        <v>73</v>
      </c>
      <c r="C35" s="70" t="s">
        <v>98</v>
      </c>
      <c r="D35" s="85" t="s">
        <v>99</v>
      </c>
      <c r="E35" s="71" t="s">
        <v>100</v>
      </c>
      <c r="F35" s="154"/>
      <c r="G35" s="155"/>
      <c r="H35" s="155"/>
    </row>
    <row r="36" spans="1:8" s="2" customFormat="1" ht="13.5" customHeight="1" x14ac:dyDescent="0.25">
      <c r="A36" s="34" t="s">
        <v>101</v>
      </c>
      <c r="B36" s="96"/>
      <c r="C36" s="159" t="s">
        <v>102</v>
      </c>
      <c r="D36" s="159"/>
      <c r="E36" s="159"/>
      <c r="F36" s="159"/>
      <c r="G36" s="159"/>
      <c r="H36" s="159"/>
    </row>
    <row r="37" spans="1:8" s="2" customFormat="1" ht="13.5" customHeight="1" x14ac:dyDescent="0.25">
      <c r="A37" s="59" t="s">
        <v>103</v>
      </c>
      <c r="B37" s="97"/>
      <c r="C37" s="84" t="s">
        <v>104</v>
      </c>
      <c r="D37" s="25" t="s">
        <v>105</v>
      </c>
      <c r="E37" s="88" t="s">
        <v>106</v>
      </c>
      <c r="F37" s="25" t="s">
        <v>107</v>
      </c>
      <c r="G37" s="89" t="s">
        <v>108</v>
      </c>
      <c r="H37" s="20" t="s">
        <v>109</v>
      </c>
    </row>
    <row r="38" spans="1:8" s="2" customFormat="1" ht="6" customHeight="1" thickBot="1" x14ac:dyDescent="0.3">
      <c r="A38" s="130"/>
      <c r="B38" s="130"/>
      <c r="C38" s="130"/>
      <c r="D38" s="130"/>
      <c r="E38" s="130"/>
      <c r="F38" s="130"/>
      <c r="G38" s="130"/>
      <c r="H38" s="130"/>
    </row>
    <row r="39" spans="1:8" s="2" customFormat="1" ht="13.5" customHeight="1" x14ac:dyDescent="0.25">
      <c r="A39" s="31" t="s">
        <v>110</v>
      </c>
      <c r="B39" s="32" t="s">
        <v>6</v>
      </c>
      <c r="C39" s="151" t="s">
        <v>29</v>
      </c>
      <c r="D39" s="151"/>
      <c r="E39" s="151"/>
      <c r="F39" s="151" t="s">
        <v>30</v>
      </c>
      <c r="G39" s="151"/>
      <c r="H39" s="151"/>
    </row>
    <row r="40" spans="1:8" s="2" customFormat="1" ht="13.5" customHeight="1" x14ac:dyDescent="0.25">
      <c r="A40" s="33" t="s">
        <v>111</v>
      </c>
      <c r="B40" s="38"/>
      <c r="C40" s="123" t="s">
        <v>112</v>
      </c>
      <c r="D40" s="123"/>
      <c r="E40" s="123"/>
      <c r="F40" s="123" t="s">
        <v>113</v>
      </c>
      <c r="G40" s="123"/>
      <c r="H40" s="123"/>
    </row>
    <row r="41" spans="1:8" s="2" customFormat="1" ht="13.5" customHeight="1" x14ac:dyDescent="0.25">
      <c r="A41" s="33" t="s">
        <v>114</v>
      </c>
      <c r="B41" s="38"/>
      <c r="C41" s="123" t="s">
        <v>115</v>
      </c>
      <c r="D41" s="123"/>
      <c r="E41" s="123"/>
      <c r="F41" s="123" t="s">
        <v>116</v>
      </c>
      <c r="G41" s="123"/>
      <c r="H41" s="123"/>
    </row>
    <row r="42" spans="1:8" s="2" customFormat="1" ht="13.5" customHeight="1" x14ac:dyDescent="0.25">
      <c r="A42" s="33" t="s">
        <v>117</v>
      </c>
      <c r="B42" s="38"/>
      <c r="C42" s="123" t="s">
        <v>118</v>
      </c>
      <c r="D42" s="123"/>
      <c r="E42" s="123"/>
      <c r="F42" s="123" t="s">
        <v>119</v>
      </c>
      <c r="G42" s="123"/>
      <c r="H42" s="123"/>
    </row>
    <row r="43" spans="1:8" s="2" customFormat="1" ht="13.5" customHeight="1" x14ac:dyDescent="0.25">
      <c r="A43" s="33" t="s">
        <v>120</v>
      </c>
      <c r="B43" s="38"/>
      <c r="C43" s="123" t="s">
        <v>121</v>
      </c>
      <c r="D43" s="123"/>
      <c r="E43" s="123"/>
      <c r="F43" s="123" t="s">
        <v>121</v>
      </c>
      <c r="G43" s="123"/>
      <c r="H43" s="123"/>
    </row>
    <row r="44" spans="1:8" s="2" customFormat="1" ht="13.5" customHeight="1" x14ac:dyDescent="0.25">
      <c r="A44" s="60" t="s">
        <v>122</v>
      </c>
      <c r="B44" s="38"/>
      <c r="C44" s="74" t="s">
        <v>123</v>
      </c>
      <c r="D44" s="26">
        <v>25.3</v>
      </c>
      <c r="E44" s="78" t="s">
        <v>124</v>
      </c>
      <c r="F44" s="27">
        <v>28.8</v>
      </c>
      <c r="G44" s="78" t="s">
        <v>125</v>
      </c>
      <c r="H44" s="16">
        <v>0.85</v>
      </c>
    </row>
    <row r="45" spans="1:8" s="2" customFormat="1" ht="13.5" customHeight="1" x14ac:dyDescent="0.25">
      <c r="A45" s="34" t="s">
        <v>126</v>
      </c>
      <c r="B45" s="39"/>
      <c r="C45" s="127" t="s">
        <v>127</v>
      </c>
      <c r="D45" s="128"/>
      <c r="E45" s="129"/>
      <c r="F45" s="127" t="s">
        <v>127</v>
      </c>
      <c r="G45" s="128"/>
      <c r="H45" s="129"/>
    </row>
    <row r="46" spans="1:8" s="2" customFormat="1" ht="13.5" customHeight="1" x14ac:dyDescent="0.25">
      <c r="A46" s="33" t="s">
        <v>128</v>
      </c>
      <c r="B46" s="38"/>
      <c r="C46" s="123" t="s">
        <v>129</v>
      </c>
      <c r="D46" s="123"/>
      <c r="E46" s="123"/>
      <c r="F46" s="123" t="s">
        <v>129</v>
      </c>
      <c r="G46" s="123"/>
      <c r="H46" s="123"/>
    </row>
    <row r="47" spans="1:8" s="2" customFormat="1" ht="13.5" customHeight="1" x14ac:dyDescent="0.25">
      <c r="A47" s="35" t="s">
        <v>130</v>
      </c>
      <c r="B47" s="40"/>
      <c r="C47" s="131" t="s">
        <v>131</v>
      </c>
      <c r="D47" s="131"/>
      <c r="E47" s="131"/>
      <c r="F47" s="131" t="s">
        <v>131</v>
      </c>
      <c r="G47" s="131"/>
      <c r="H47" s="131"/>
    </row>
    <row r="48" spans="1:8" s="2" customFormat="1" ht="6.75" customHeight="1" x14ac:dyDescent="0.25">
      <c r="A48" s="130"/>
      <c r="B48" s="130"/>
      <c r="C48" s="130"/>
      <c r="D48" s="130"/>
      <c r="E48" s="130"/>
      <c r="F48" s="130"/>
      <c r="G48" s="130"/>
      <c r="H48" s="130"/>
    </row>
    <row r="49" spans="1:8" s="2" customFormat="1" ht="13.5" customHeight="1" x14ac:dyDescent="0.25">
      <c r="A49" s="31" t="s">
        <v>132</v>
      </c>
      <c r="B49" s="41" t="s">
        <v>6</v>
      </c>
      <c r="C49" s="122"/>
      <c r="D49" s="122"/>
      <c r="E49" s="122"/>
      <c r="F49" s="122"/>
      <c r="G49" s="122"/>
      <c r="H49" s="122"/>
    </row>
    <row r="50" spans="1:8" s="2" customFormat="1" ht="13.5" customHeight="1" x14ac:dyDescent="0.25">
      <c r="A50" s="33" t="s">
        <v>133</v>
      </c>
      <c r="B50" s="42"/>
      <c r="C50" s="127" t="s">
        <v>134</v>
      </c>
      <c r="D50" s="128"/>
      <c r="E50" s="128"/>
      <c r="F50" s="128"/>
      <c r="G50" s="128"/>
      <c r="H50" s="129"/>
    </row>
    <row r="51" spans="1:8" s="2" customFormat="1" ht="13.5" customHeight="1" x14ac:dyDescent="0.25">
      <c r="A51" s="33" t="s">
        <v>135</v>
      </c>
      <c r="B51" s="42"/>
      <c r="C51" s="127" t="s">
        <v>136</v>
      </c>
      <c r="D51" s="128"/>
      <c r="E51" s="128"/>
      <c r="F51" s="128"/>
      <c r="G51" s="128"/>
      <c r="H51" s="129"/>
    </row>
    <row r="52" spans="1:8" s="2" customFormat="1" ht="13.5" customHeight="1" x14ac:dyDescent="0.25">
      <c r="A52" s="33" t="s">
        <v>137</v>
      </c>
      <c r="B52" s="42"/>
      <c r="C52" s="81" t="s">
        <v>138</v>
      </c>
      <c r="D52" s="28">
        <v>265</v>
      </c>
      <c r="E52" s="80" t="s">
        <v>139</v>
      </c>
      <c r="F52" s="127" t="s">
        <v>140</v>
      </c>
      <c r="G52" s="128"/>
      <c r="H52" s="128"/>
    </row>
    <row r="53" spans="1:8" s="2" customFormat="1" ht="13.5" customHeight="1" x14ac:dyDescent="0.25">
      <c r="A53" s="33" t="s">
        <v>141</v>
      </c>
      <c r="B53" s="42"/>
      <c r="C53" s="123" t="s">
        <v>142</v>
      </c>
      <c r="D53" s="123"/>
      <c r="E53" s="123"/>
      <c r="F53" s="123"/>
      <c r="G53" s="123"/>
      <c r="H53" s="123"/>
    </row>
    <row r="54" spans="1:8" s="2" customFormat="1" ht="27" customHeight="1" x14ac:dyDescent="0.25">
      <c r="A54" s="33" t="s">
        <v>143</v>
      </c>
      <c r="B54" s="42"/>
      <c r="C54" s="123" t="s">
        <v>142</v>
      </c>
      <c r="D54" s="123"/>
      <c r="E54" s="123"/>
      <c r="F54" s="123"/>
      <c r="G54" s="123"/>
      <c r="H54" s="123"/>
    </row>
    <row r="55" spans="1:8" s="2" customFormat="1" ht="13.5" customHeight="1" x14ac:dyDescent="0.25">
      <c r="A55" s="109" t="s">
        <v>144</v>
      </c>
      <c r="B55" s="44"/>
      <c r="C55" s="123" t="s">
        <v>145</v>
      </c>
      <c r="D55" s="123"/>
      <c r="E55" s="123"/>
      <c r="F55" s="123"/>
      <c r="G55" s="123"/>
      <c r="H55" s="123"/>
    </row>
    <row r="56" spans="1:8" s="2" customFormat="1" ht="1.5" customHeight="1" x14ac:dyDescent="0.25">
      <c r="A56" s="118"/>
      <c r="B56" s="118"/>
      <c r="C56" s="150"/>
      <c r="D56" s="150"/>
      <c r="E56" s="150"/>
      <c r="F56" s="150"/>
      <c r="G56" s="150"/>
      <c r="H56" s="150"/>
    </row>
    <row r="57" spans="1:8" s="2" customFormat="1" ht="13.5" customHeight="1" x14ac:dyDescent="0.25">
      <c r="A57" s="148"/>
      <c r="B57" s="148"/>
      <c r="C57" s="148"/>
      <c r="D57" s="148"/>
      <c r="E57" s="148"/>
      <c r="F57" s="148"/>
      <c r="G57" s="148"/>
      <c r="H57" s="148"/>
    </row>
    <row r="58" spans="1:8" s="2" customFormat="1" ht="13.5" customHeight="1" x14ac:dyDescent="0.25">
      <c r="A58" s="31" t="s">
        <v>146</v>
      </c>
      <c r="B58" s="32" t="s">
        <v>6</v>
      </c>
      <c r="C58" s="122"/>
      <c r="D58" s="122"/>
      <c r="E58" s="122"/>
      <c r="F58" s="122"/>
      <c r="G58" s="122"/>
      <c r="H58" s="122"/>
    </row>
    <row r="59" spans="1:8" s="2" customFormat="1" ht="13.5" customHeight="1" x14ac:dyDescent="0.25">
      <c r="A59" s="33" t="s">
        <v>147</v>
      </c>
      <c r="B59" s="45"/>
      <c r="C59" s="149" t="s">
        <v>148</v>
      </c>
      <c r="D59" s="149"/>
      <c r="E59" s="149"/>
      <c r="F59" s="149"/>
      <c r="G59" s="149"/>
      <c r="H59" s="149"/>
    </row>
    <row r="60" spans="1:8" s="2" customFormat="1" ht="13.5" customHeight="1" x14ac:dyDescent="0.3">
      <c r="A60" s="33" t="s">
        <v>149</v>
      </c>
      <c r="B60" s="45"/>
      <c r="C60" s="145" t="s">
        <v>150</v>
      </c>
      <c r="D60" s="146"/>
      <c r="E60" s="146"/>
      <c r="F60" s="146"/>
      <c r="G60" s="146"/>
      <c r="H60" s="147"/>
    </row>
    <row r="61" spans="1:8" s="2" customFormat="1" ht="13.5" customHeight="1" x14ac:dyDescent="0.25">
      <c r="A61" s="33" t="s">
        <v>151</v>
      </c>
      <c r="B61" s="45"/>
      <c r="C61" s="119" t="s">
        <v>152</v>
      </c>
      <c r="D61" s="120"/>
      <c r="E61" s="120"/>
      <c r="F61" s="120"/>
      <c r="G61" s="120"/>
      <c r="H61" s="121"/>
    </row>
    <row r="62" spans="1:8" s="2" customFormat="1" ht="13.5" customHeight="1" x14ac:dyDescent="0.25">
      <c r="A62" s="33" t="s">
        <v>153</v>
      </c>
      <c r="B62" s="42"/>
      <c r="C62" s="119" t="s">
        <v>154</v>
      </c>
      <c r="D62" s="120"/>
      <c r="E62" s="120"/>
      <c r="F62" s="120"/>
      <c r="G62" s="120"/>
      <c r="H62" s="121"/>
    </row>
    <row r="63" spans="1:8" s="2" customFormat="1" ht="13.5" customHeight="1" x14ac:dyDescent="0.3">
      <c r="A63" s="33" t="s">
        <v>155</v>
      </c>
      <c r="B63" s="45"/>
      <c r="C63" s="145" t="s">
        <v>156</v>
      </c>
      <c r="D63" s="146"/>
      <c r="E63" s="146"/>
      <c r="F63" s="146"/>
      <c r="G63" s="146"/>
      <c r="H63" s="147"/>
    </row>
    <row r="64" spans="1:8" s="2" customFormat="1" ht="13.5" customHeight="1" x14ac:dyDescent="0.25">
      <c r="A64" s="33" t="s">
        <v>157</v>
      </c>
      <c r="B64" s="45"/>
      <c r="C64" s="119" t="s">
        <v>158</v>
      </c>
      <c r="D64" s="120"/>
      <c r="E64" s="120"/>
      <c r="F64" s="120"/>
      <c r="G64" s="120"/>
      <c r="H64" s="121"/>
    </row>
    <row r="65" spans="1:8" s="2" customFormat="1" ht="13.5" customHeight="1" x14ac:dyDescent="0.3">
      <c r="A65" s="35" t="s">
        <v>159</v>
      </c>
      <c r="B65" s="46"/>
      <c r="C65" s="141" t="s">
        <v>160</v>
      </c>
      <c r="D65" s="142"/>
      <c r="E65" s="142"/>
      <c r="F65" s="142"/>
      <c r="G65" s="142"/>
      <c r="H65" s="143"/>
    </row>
    <row r="66" spans="1:8" s="2" customFormat="1" ht="9.75" customHeight="1" x14ac:dyDescent="0.25">
      <c r="A66" s="130"/>
      <c r="B66" s="130"/>
      <c r="C66" s="130"/>
      <c r="D66" s="130"/>
      <c r="E66" s="130"/>
      <c r="F66" s="130"/>
      <c r="G66" s="130"/>
      <c r="H66" s="130"/>
    </row>
    <row r="67" spans="1:8" s="2" customFormat="1" ht="13.5" customHeight="1" x14ac:dyDescent="0.25">
      <c r="A67" s="31" t="s">
        <v>161</v>
      </c>
      <c r="B67" s="32" t="s">
        <v>6</v>
      </c>
      <c r="C67" s="122"/>
      <c r="D67" s="122"/>
      <c r="E67" s="122"/>
      <c r="F67" s="122"/>
      <c r="G67" s="122"/>
      <c r="H67" s="122"/>
    </row>
    <row r="68" spans="1:8" s="2" customFormat="1" ht="13.5" customHeight="1" x14ac:dyDescent="0.25">
      <c r="A68" s="33" t="s">
        <v>162</v>
      </c>
      <c r="B68" s="47"/>
      <c r="C68" s="187" t="s">
        <v>163</v>
      </c>
      <c r="D68" s="187"/>
      <c r="E68" s="187"/>
      <c r="F68" s="187"/>
      <c r="G68" s="187"/>
      <c r="H68" s="187"/>
    </row>
    <row r="69" spans="1:8" s="2" customFormat="1" ht="13.5" customHeight="1" x14ac:dyDescent="0.25">
      <c r="A69" s="33" t="s">
        <v>164</v>
      </c>
      <c r="B69" s="47"/>
      <c r="C69" s="123" t="s">
        <v>165</v>
      </c>
      <c r="D69" s="123"/>
      <c r="E69" s="123"/>
      <c r="F69" s="123"/>
      <c r="G69" s="123"/>
      <c r="H69" s="123"/>
    </row>
    <row r="70" spans="1:8" s="2" customFormat="1" ht="13.5" customHeight="1" x14ac:dyDescent="0.25">
      <c r="A70" s="33" t="s">
        <v>166</v>
      </c>
      <c r="B70" s="47"/>
      <c r="C70" s="123" t="s">
        <v>167</v>
      </c>
      <c r="D70" s="123"/>
      <c r="E70" s="123"/>
      <c r="F70" s="123"/>
      <c r="G70" s="123"/>
      <c r="H70" s="123"/>
    </row>
    <row r="71" spans="1:8" s="2" customFormat="1" ht="13.5" customHeight="1" x14ac:dyDescent="0.25">
      <c r="A71" s="60" t="s">
        <v>168</v>
      </c>
      <c r="B71" s="47" t="s">
        <v>21</v>
      </c>
      <c r="C71" s="73" t="s">
        <v>169</v>
      </c>
      <c r="D71" s="27" t="s">
        <v>142</v>
      </c>
      <c r="E71" s="76" t="s">
        <v>170</v>
      </c>
      <c r="F71" s="27">
        <v>37.92</v>
      </c>
      <c r="G71" s="140"/>
      <c r="H71" s="140"/>
    </row>
    <row r="72" spans="1:8" s="2" customFormat="1" ht="13.5" customHeight="1" x14ac:dyDescent="0.25">
      <c r="A72" s="33" t="s">
        <v>171</v>
      </c>
      <c r="B72" s="47" t="s">
        <v>172</v>
      </c>
      <c r="C72" s="74" t="s">
        <v>169</v>
      </c>
      <c r="D72" s="26">
        <v>2750</v>
      </c>
      <c r="E72" s="78" t="s">
        <v>173</v>
      </c>
      <c r="F72" s="26">
        <v>2850</v>
      </c>
      <c r="G72" s="78" t="s">
        <v>170</v>
      </c>
      <c r="H72" s="16">
        <v>2550</v>
      </c>
    </row>
    <row r="73" spans="1:8" s="2" customFormat="1" ht="13.5" customHeight="1" x14ac:dyDescent="0.25">
      <c r="A73" s="33" t="s">
        <v>174</v>
      </c>
      <c r="B73" s="47"/>
      <c r="C73" s="123" t="s">
        <v>175</v>
      </c>
      <c r="D73" s="123"/>
      <c r="E73" s="123"/>
      <c r="F73" s="123"/>
      <c r="G73" s="123"/>
      <c r="H73" s="123"/>
    </row>
    <row r="74" spans="1:8" s="2" customFormat="1" ht="13.5" customHeight="1" x14ac:dyDescent="0.25">
      <c r="A74" s="33" t="s">
        <v>176</v>
      </c>
      <c r="B74" s="47"/>
      <c r="C74" s="123" t="s">
        <v>177</v>
      </c>
      <c r="D74" s="123"/>
      <c r="E74" s="123"/>
      <c r="F74" s="123"/>
      <c r="G74" s="123"/>
      <c r="H74" s="123"/>
    </row>
    <row r="75" spans="1:8" s="2" customFormat="1" ht="13.5" customHeight="1" x14ac:dyDescent="0.25">
      <c r="A75" s="33" t="s">
        <v>178</v>
      </c>
      <c r="B75" s="47" t="s">
        <v>8</v>
      </c>
      <c r="C75" s="74" t="s">
        <v>10</v>
      </c>
      <c r="D75" s="27">
        <v>200</v>
      </c>
      <c r="E75" s="76" t="s">
        <v>11</v>
      </c>
      <c r="F75" s="27">
        <v>100</v>
      </c>
      <c r="G75" s="76" t="s">
        <v>179</v>
      </c>
      <c r="H75" s="27">
        <v>203</v>
      </c>
    </row>
    <row r="76" spans="1:8" s="2" customFormat="1" ht="13.5" customHeight="1" x14ac:dyDescent="0.25">
      <c r="A76" s="35" t="s">
        <v>180</v>
      </c>
      <c r="B76" s="48" t="s">
        <v>181</v>
      </c>
      <c r="C76" s="75" t="s">
        <v>182</v>
      </c>
      <c r="D76" s="29">
        <v>8.9</v>
      </c>
      <c r="E76" s="77" t="s">
        <v>183</v>
      </c>
      <c r="F76" s="144" t="s">
        <v>184</v>
      </c>
      <c r="G76" s="144"/>
      <c r="H76" s="144"/>
    </row>
    <row r="77" spans="1:8" s="2" customFormat="1" ht="9.75" customHeight="1" x14ac:dyDescent="0.25">
      <c r="A77" s="130"/>
      <c r="B77" s="130"/>
      <c r="C77" s="130"/>
      <c r="D77" s="130"/>
      <c r="E77" s="130"/>
      <c r="F77" s="130"/>
      <c r="G77" s="130"/>
      <c r="H77" s="130"/>
    </row>
    <row r="78" spans="1:8" s="2" customFormat="1" ht="13.8" x14ac:dyDescent="0.25">
      <c r="A78" s="31" t="s">
        <v>185</v>
      </c>
      <c r="B78" s="32" t="s">
        <v>6</v>
      </c>
      <c r="C78" s="134" t="s">
        <v>29</v>
      </c>
      <c r="D78" s="135"/>
      <c r="E78" s="136"/>
      <c r="F78" s="137" t="s">
        <v>30</v>
      </c>
      <c r="G78" s="138"/>
      <c r="H78" s="139"/>
    </row>
    <row r="79" spans="1:8" s="2" customFormat="1" ht="13.5" customHeight="1" x14ac:dyDescent="0.25">
      <c r="A79" s="33" t="s">
        <v>186</v>
      </c>
      <c r="B79" s="47"/>
      <c r="C79" s="124" t="s">
        <v>187</v>
      </c>
      <c r="D79" s="125"/>
      <c r="E79" s="126"/>
      <c r="F79" s="124" t="s">
        <v>187</v>
      </c>
      <c r="G79" s="125"/>
      <c r="H79" s="126"/>
    </row>
    <row r="80" spans="1:8" s="2" customFormat="1" ht="13.8" x14ac:dyDescent="0.25">
      <c r="A80" s="33" t="s">
        <v>188</v>
      </c>
      <c r="B80" s="47"/>
      <c r="C80" s="124" t="s">
        <v>189</v>
      </c>
      <c r="D80" s="125"/>
      <c r="E80" s="126"/>
      <c r="F80" s="124" t="s">
        <v>189</v>
      </c>
      <c r="G80" s="125"/>
      <c r="H80" s="126"/>
    </row>
    <row r="81" spans="1:8" s="2" customFormat="1" ht="13.8" x14ac:dyDescent="0.25">
      <c r="A81" s="33" t="s">
        <v>190</v>
      </c>
      <c r="B81" s="72"/>
      <c r="C81" s="119" t="s">
        <v>191</v>
      </c>
      <c r="D81" s="120"/>
      <c r="E81" s="121"/>
      <c r="F81" s="119" t="s">
        <v>191</v>
      </c>
      <c r="G81" s="120"/>
      <c r="H81" s="121"/>
    </row>
    <row r="82" spans="1:8" s="2" customFormat="1" ht="13.8" x14ac:dyDescent="0.25">
      <c r="A82" s="33" t="s">
        <v>192</v>
      </c>
      <c r="B82" s="72"/>
      <c r="C82" s="119">
        <v>2</v>
      </c>
      <c r="D82" s="120"/>
      <c r="E82" s="121"/>
      <c r="F82" s="119">
        <v>2</v>
      </c>
      <c r="G82" s="120"/>
      <c r="H82" s="121"/>
    </row>
    <row r="83" spans="1:8" s="2" customFormat="1" ht="26.1" customHeight="1" x14ac:dyDescent="0.25">
      <c r="A83" s="60" t="s">
        <v>193</v>
      </c>
      <c r="B83" s="72" t="s">
        <v>194</v>
      </c>
      <c r="C83" s="74" t="s">
        <v>195</v>
      </c>
      <c r="D83" s="10">
        <v>3</v>
      </c>
      <c r="E83" s="9">
        <v>350</v>
      </c>
      <c r="F83" s="74" t="s">
        <v>195</v>
      </c>
      <c r="G83" s="10">
        <v>3</v>
      </c>
      <c r="H83" s="9">
        <v>350</v>
      </c>
    </row>
    <row r="84" spans="1:8" s="2" customFormat="1" ht="13.5" customHeight="1" x14ac:dyDescent="0.25">
      <c r="A84" s="33" t="s">
        <v>196</v>
      </c>
      <c r="B84" s="72" t="s">
        <v>197</v>
      </c>
      <c r="C84" s="124">
        <v>20000</v>
      </c>
      <c r="D84" s="125"/>
      <c r="E84" s="126"/>
      <c r="F84" s="124">
        <v>20000</v>
      </c>
      <c r="G84" s="125"/>
      <c r="H84" s="126"/>
    </row>
    <row r="85" spans="1:8" s="2" customFormat="1" ht="13.5" customHeight="1" x14ac:dyDescent="0.25">
      <c r="A85" s="33" t="s">
        <v>198</v>
      </c>
      <c r="B85" s="72" t="s">
        <v>197</v>
      </c>
      <c r="C85" s="124">
        <v>12000</v>
      </c>
      <c r="D85" s="125"/>
      <c r="E85" s="126"/>
      <c r="F85" s="124">
        <v>12000</v>
      </c>
      <c r="G85" s="125"/>
      <c r="H85" s="126"/>
    </row>
    <row r="86" spans="1:8" s="2" customFormat="1" ht="13.5" customHeight="1" x14ac:dyDescent="0.25">
      <c r="A86" s="33" t="s">
        <v>199</v>
      </c>
      <c r="B86" s="72" t="s">
        <v>200</v>
      </c>
      <c r="C86" s="124" t="s">
        <v>201</v>
      </c>
      <c r="D86" s="125"/>
      <c r="E86" s="126"/>
      <c r="F86" s="124" t="s">
        <v>201</v>
      </c>
      <c r="G86" s="125"/>
      <c r="H86" s="126"/>
    </row>
    <row r="87" spans="1:8" s="2" customFormat="1" ht="13.5" customHeight="1" x14ac:dyDescent="0.25">
      <c r="A87" s="33" t="s">
        <v>202</v>
      </c>
      <c r="B87" s="72" t="s">
        <v>203</v>
      </c>
      <c r="C87" s="124" t="s">
        <v>204</v>
      </c>
      <c r="D87" s="125"/>
      <c r="E87" s="126"/>
      <c r="F87" s="124" t="s">
        <v>204</v>
      </c>
      <c r="G87" s="125"/>
      <c r="H87" s="126"/>
    </row>
    <row r="88" spans="1:8" s="2" customFormat="1" ht="13.5" customHeight="1" x14ac:dyDescent="0.25">
      <c r="A88" s="33" t="s">
        <v>205</v>
      </c>
      <c r="B88" s="72" t="s">
        <v>206</v>
      </c>
      <c r="C88" s="124" t="s">
        <v>207</v>
      </c>
      <c r="D88" s="125"/>
      <c r="E88" s="126"/>
      <c r="F88" s="124" t="s">
        <v>207</v>
      </c>
      <c r="G88" s="125"/>
      <c r="H88" s="126"/>
    </row>
    <row r="89" spans="1:8" s="2" customFormat="1" ht="13.5" customHeight="1" x14ac:dyDescent="0.25">
      <c r="A89" s="33" t="s">
        <v>208</v>
      </c>
      <c r="B89" s="72" t="s">
        <v>206</v>
      </c>
      <c r="C89" s="124" t="s">
        <v>209</v>
      </c>
      <c r="D89" s="125"/>
      <c r="E89" s="126"/>
      <c r="F89" s="124" t="s">
        <v>209</v>
      </c>
      <c r="G89" s="125"/>
      <c r="H89" s="126"/>
    </row>
    <row r="90" spans="1:8" s="2" customFormat="1" ht="13.5" customHeight="1" x14ac:dyDescent="0.25">
      <c r="A90" s="60" t="s">
        <v>210</v>
      </c>
      <c r="B90" s="72"/>
      <c r="C90" s="124" t="s">
        <v>211</v>
      </c>
      <c r="D90" s="125"/>
      <c r="E90" s="126"/>
      <c r="F90" s="124" t="s">
        <v>211</v>
      </c>
      <c r="G90" s="125"/>
      <c r="H90" s="126"/>
    </row>
    <row r="91" spans="1:8" s="2" customFormat="1" ht="13.5" customHeight="1" x14ac:dyDescent="0.25">
      <c r="A91" s="60" t="s">
        <v>212</v>
      </c>
      <c r="B91" s="72"/>
      <c r="C91" s="124" t="s">
        <v>213</v>
      </c>
      <c r="D91" s="125"/>
      <c r="E91" s="126"/>
      <c r="F91" s="124" t="s">
        <v>213</v>
      </c>
      <c r="G91" s="125"/>
      <c r="H91" s="126"/>
    </row>
    <row r="92" spans="1:8" s="2" customFormat="1" ht="13.8" x14ac:dyDescent="0.25">
      <c r="A92" s="33" t="s">
        <v>214</v>
      </c>
      <c r="B92" s="72"/>
      <c r="C92" s="124" t="s">
        <v>142</v>
      </c>
      <c r="D92" s="125"/>
      <c r="E92" s="126"/>
      <c r="F92" s="124" t="s">
        <v>142</v>
      </c>
      <c r="G92" s="125"/>
      <c r="H92" s="126"/>
    </row>
    <row r="93" spans="1:8" s="2" customFormat="1" ht="13.8" x14ac:dyDescent="0.25">
      <c r="A93" s="33" t="s">
        <v>215</v>
      </c>
      <c r="B93" s="72"/>
      <c r="C93" s="119" t="s">
        <v>216</v>
      </c>
      <c r="D93" s="120"/>
      <c r="E93" s="121"/>
      <c r="F93" s="119" t="s">
        <v>216</v>
      </c>
      <c r="G93" s="120"/>
      <c r="H93" s="121"/>
    </row>
    <row r="94" spans="1:8" s="2" customFormat="1" ht="15.75" customHeight="1" x14ac:dyDescent="0.25">
      <c r="A94" s="60" t="s">
        <v>217</v>
      </c>
      <c r="B94" s="72" t="s">
        <v>218</v>
      </c>
      <c r="C94" s="119" t="s">
        <v>219</v>
      </c>
      <c r="D94" s="120"/>
      <c r="E94" s="121"/>
      <c r="F94" s="119" t="s">
        <v>219</v>
      </c>
      <c r="G94" s="120"/>
      <c r="H94" s="121"/>
    </row>
    <row r="95" spans="1:8" s="2" customFormat="1" ht="13.5" customHeight="1" x14ac:dyDescent="0.25">
      <c r="A95" s="60" t="s">
        <v>220</v>
      </c>
      <c r="B95" s="72" t="s">
        <v>221</v>
      </c>
      <c r="C95" s="119" t="s">
        <v>222</v>
      </c>
      <c r="D95" s="120"/>
      <c r="E95" s="121"/>
      <c r="F95" s="119" t="s">
        <v>222</v>
      </c>
      <c r="G95" s="120"/>
      <c r="H95" s="121"/>
    </row>
    <row r="96" spans="1:8" s="2" customFormat="1" ht="14.1" customHeight="1" x14ac:dyDescent="0.25">
      <c r="A96" s="35" t="s">
        <v>223</v>
      </c>
      <c r="B96" s="98"/>
      <c r="C96" s="124" t="s">
        <v>224</v>
      </c>
      <c r="D96" s="125"/>
      <c r="E96" s="126"/>
      <c r="F96" s="127"/>
      <c r="G96" s="128"/>
      <c r="H96" s="129"/>
    </row>
    <row r="97" spans="1:8" s="2" customFormat="1" ht="9.75" customHeight="1" x14ac:dyDescent="0.25">
      <c r="A97" s="130"/>
      <c r="B97" s="130"/>
      <c r="C97" s="130"/>
      <c r="D97" s="130"/>
      <c r="E97" s="130"/>
      <c r="F97" s="130"/>
      <c r="G97" s="130"/>
      <c r="H97" s="130"/>
    </row>
    <row r="98" spans="1:8" s="2" customFormat="1" ht="13.5" customHeight="1" x14ac:dyDescent="0.25">
      <c r="A98" s="31" t="s">
        <v>225</v>
      </c>
      <c r="B98" s="112" t="s">
        <v>6</v>
      </c>
      <c r="C98" s="122"/>
      <c r="D98" s="122"/>
      <c r="E98" s="122"/>
      <c r="F98" s="122"/>
      <c r="G98" s="122"/>
      <c r="H98" s="122"/>
    </row>
    <row r="99" spans="1:8" s="2" customFormat="1" ht="13.5" customHeight="1" x14ac:dyDescent="0.25">
      <c r="A99" s="33" t="s">
        <v>226</v>
      </c>
      <c r="B99" s="111" t="s">
        <v>227</v>
      </c>
      <c r="C99" s="123">
        <v>6.18</v>
      </c>
      <c r="D99" s="123"/>
      <c r="E99" s="123"/>
      <c r="F99" s="123"/>
      <c r="G99" s="123"/>
      <c r="H99" s="123"/>
    </row>
    <row r="100" spans="1:8" s="2" customFormat="1" ht="13.5" customHeight="1" x14ac:dyDescent="0.25">
      <c r="A100" s="33" t="s">
        <v>228</v>
      </c>
      <c r="B100" s="111" t="s">
        <v>21</v>
      </c>
      <c r="C100" s="187">
        <v>29.808</v>
      </c>
      <c r="D100" s="187"/>
      <c r="E100" s="187"/>
      <c r="F100" s="187"/>
      <c r="G100" s="187"/>
      <c r="H100" s="187"/>
    </row>
    <row r="101" spans="1:8" s="2" customFormat="1" ht="13.5" customHeight="1" x14ac:dyDescent="0.25">
      <c r="A101" s="33" t="s">
        <v>229</v>
      </c>
      <c r="B101" s="111"/>
      <c r="C101" s="123" t="s">
        <v>230</v>
      </c>
      <c r="D101" s="123"/>
      <c r="E101" s="123"/>
      <c r="F101" s="123"/>
      <c r="G101" s="123"/>
      <c r="H101" s="123"/>
    </row>
    <row r="102" spans="1:8" s="2" customFormat="1" ht="13.5" customHeight="1" x14ac:dyDescent="0.25">
      <c r="A102" s="33" t="s">
        <v>231</v>
      </c>
      <c r="B102" s="72" t="s">
        <v>232</v>
      </c>
      <c r="C102" s="123" t="s">
        <v>233</v>
      </c>
      <c r="D102" s="123"/>
      <c r="E102" s="123"/>
      <c r="F102" s="123"/>
      <c r="G102" s="123"/>
      <c r="H102" s="123"/>
    </row>
    <row r="103" spans="1:8" s="2" customFormat="1" ht="13.5" customHeight="1" x14ac:dyDescent="0.25">
      <c r="A103" s="33" t="s">
        <v>234</v>
      </c>
      <c r="B103" s="111" t="s">
        <v>235</v>
      </c>
      <c r="C103" s="123">
        <v>626.4</v>
      </c>
      <c r="D103" s="123"/>
      <c r="E103" s="123"/>
      <c r="F103" s="123"/>
      <c r="G103" s="123"/>
      <c r="H103" s="123"/>
    </row>
    <row r="104" spans="1:8" s="2" customFormat="1" ht="13.5" customHeight="1" x14ac:dyDescent="0.25">
      <c r="A104" s="33" t="s">
        <v>236</v>
      </c>
      <c r="B104" s="111"/>
      <c r="C104" s="123" t="s">
        <v>237</v>
      </c>
      <c r="D104" s="123"/>
      <c r="E104" s="123"/>
      <c r="F104" s="123"/>
      <c r="G104" s="123"/>
      <c r="H104" s="123"/>
    </row>
    <row r="105" spans="1:8" s="2" customFormat="1" ht="13.5" customHeight="1" x14ac:dyDescent="0.25">
      <c r="A105" s="33" t="s">
        <v>238</v>
      </c>
      <c r="B105" s="111"/>
      <c r="C105" s="123" t="s">
        <v>239</v>
      </c>
      <c r="D105" s="123"/>
      <c r="E105" s="123"/>
      <c r="F105" s="123"/>
      <c r="G105" s="123"/>
      <c r="H105" s="123"/>
    </row>
    <row r="106" spans="1:8" s="2" customFormat="1" ht="13.5" customHeight="1" x14ac:dyDescent="0.25">
      <c r="A106" s="33" t="s">
        <v>240</v>
      </c>
      <c r="B106" s="72" t="s">
        <v>218</v>
      </c>
      <c r="C106" s="123" t="s">
        <v>241</v>
      </c>
      <c r="D106" s="123"/>
      <c r="E106" s="123"/>
      <c r="F106" s="123"/>
      <c r="G106" s="123"/>
      <c r="H106" s="123"/>
    </row>
    <row r="107" spans="1:8" s="2" customFormat="1" ht="13.5" customHeight="1" x14ac:dyDescent="0.25">
      <c r="A107" s="33" t="s">
        <v>242</v>
      </c>
      <c r="B107" s="111" t="s">
        <v>221</v>
      </c>
      <c r="C107" s="123" t="s">
        <v>243</v>
      </c>
      <c r="D107" s="123"/>
      <c r="E107" s="123"/>
      <c r="F107" s="123"/>
      <c r="G107" s="123"/>
      <c r="H107" s="123"/>
    </row>
    <row r="108" spans="1:8" s="2" customFormat="1" ht="13.5" customHeight="1" x14ac:dyDescent="0.25">
      <c r="A108" s="33" t="s">
        <v>244</v>
      </c>
      <c r="B108" s="111" t="s">
        <v>245</v>
      </c>
      <c r="C108" s="123" t="s">
        <v>246</v>
      </c>
      <c r="D108" s="123"/>
      <c r="E108" s="123"/>
      <c r="F108" s="123"/>
      <c r="G108" s="123"/>
      <c r="H108" s="123"/>
    </row>
    <row r="109" spans="1:8" s="2" customFormat="1" ht="13.5" customHeight="1" x14ac:dyDescent="0.25">
      <c r="A109" s="33" t="s">
        <v>247</v>
      </c>
      <c r="B109" s="111" t="s">
        <v>73</v>
      </c>
      <c r="C109" s="133">
        <v>0.92</v>
      </c>
      <c r="D109" s="123"/>
      <c r="E109" s="123"/>
      <c r="F109" s="123"/>
      <c r="G109" s="123"/>
      <c r="H109" s="123"/>
    </row>
    <row r="110" spans="1:8" s="2" customFormat="1" ht="13.5" customHeight="1" x14ac:dyDescent="0.25">
      <c r="A110" s="33" t="s">
        <v>248</v>
      </c>
      <c r="B110" s="111" t="s">
        <v>221</v>
      </c>
      <c r="C110" s="123" t="s">
        <v>249</v>
      </c>
      <c r="D110" s="123"/>
      <c r="E110" s="123"/>
      <c r="F110" s="123"/>
      <c r="G110" s="123"/>
      <c r="H110" s="123"/>
    </row>
    <row r="111" spans="1:8" s="2" customFormat="1" ht="13.5" customHeight="1" x14ac:dyDescent="0.25">
      <c r="A111" s="33" t="s">
        <v>250</v>
      </c>
      <c r="B111" s="111"/>
      <c r="C111" s="123" t="s">
        <v>251</v>
      </c>
      <c r="D111" s="123"/>
      <c r="E111" s="123"/>
      <c r="F111" s="123"/>
      <c r="G111" s="123"/>
      <c r="H111" s="123"/>
    </row>
    <row r="112" spans="1:8" s="2" customFormat="1" ht="13.5" customHeight="1" x14ac:dyDescent="0.25">
      <c r="A112" s="33" t="s">
        <v>252</v>
      </c>
      <c r="B112" s="111" t="s">
        <v>253</v>
      </c>
      <c r="C112" s="123">
        <v>300</v>
      </c>
      <c r="D112" s="123"/>
      <c r="E112" s="123"/>
      <c r="F112" s="123"/>
      <c r="G112" s="123"/>
      <c r="H112" s="123"/>
    </row>
    <row r="113" spans="1:8" s="2" customFormat="1" ht="9.75" customHeight="1" x14ac:dyDescent="0.25">
      <c r="A113" s="130"/>
      <c r="B113" s="130"/>
      <c r="C113" s="130"/>
      <c r="D113" s="130"/>
      <c r="E113" s="130"/>
      <c r="F113" s="130"/>
      <c r="G113" s="130"/>
      <c r="H113" s="130"/>
    </row>
    <row r="114" spans="1:8" s="2" customFormat="1" ht="13.5" customHeight="1" x14ac:dyDescent="0.25">
      <c r="A114" s="31" t="s">
        <v>254</v>
      </c>
      <c r="B114" s="32" t="s">
        <v>6</v>
      </c>
      <c r="C114" s="122"/>
      <c r="D114" s="122"/>
      <c r="E114" s="122"/>
      <c r="F114" s="122"/>
      <c r="G114" s="122"/>
      <c r="H114" s="122"/>
    </row>
    <row r="115" spans="1:8" s="2" customFormat="1" ht="13.5" customHeight="1" x14ac:dyDescent="0.25">
      <c r="A115" s="33" t="s">
        <v>255</v>
      </c>
      <c r="B115" s="72"/>
      <c r="C115" s="123" t="s">
        <v>256</v>
      </c>
      <c r="D115" s="123"/>
      <c r="E115" s="123"/>
      <c r="F115" s="123"/>
      <c r="G115" s="123"/>
      <c r="H115" s="123"/>
    </row>
    <row r="116" spans="1:8" s="2" customFormat="1" ht="13.5" customHeight="1" x14ac:dyDescent="0.25">
      <c r="A116" s="33" t="s">
        <v>257</v>
      </c>
      <c r="B116" s="72"/>
      <c r="C116" s="123" t="s">
        <v>142</v>
      </c>
      <c r="D116" s="123"/>
      <c r="E116" s="123"/>
      <c r="F116" s="123"/>
      <c r="G116" s="123"/>
      <c r="H116" s="123"/>
    </row>
    <row r="117" spans="1:8" s="2" customFormat="1" ht="13.5" customHeight="1" x14ac:dyDescent="0.25">
      <c r="A117" s="33" t="s">
        <v>258</v>
      </c>
      <c r="B117" s="72" t="s">
        <v>259</v>
      </c>
      <c r="C117" s="15">
        <v>11.6</v>
      </c>
      <c r="D117" s="132"/>
      <c r="E117" s="132"/>
      <c r="F117" s="132"/>
      <c r="G117" s="132"/>
      <c r="H117" s="132"/>
    </row>
    <row r="118" spans="1:8" s="2" customFormat="1" ht="13.5" customHeight="1" x14ac:dyDescent="0.25">
      <c r="A118" s="60" t="s">
        <v>260</v>
      </c>
      <c r="B118" s="72" t="s">
        <v>261</v>
      </c>
      <c r="C118" s="74" t="s">
        <v>262</v>
      </c>
      <c r="D118" s="8">
        <v>1603.4</v>
      </c>
      <c r="E118" s="76" t="s">
        <v>263</v>
      </c>
      <c r="F118" s="8" t="s">
        <v>142</v>
      </c>
      <c r="G118" s="76" t="s">
        <v>264</v>
      </c>
      <c r="H118" s="9" t="s">
        <v>142</v>
      </c>
    </row>
    <row r="119" spans="1:8" s="2" customFormat="1" ht="13.5" customHeight="1" x14ac:dyDescent="0.25">
      <c r="A119" s="94" t="s">
        <v>260</v>
      </c>
      <c r="B119" s="72" t="s">
        <v>261</v>
      </c>
      <c r="C119" s="74" t="s">
        <v>265</v>
      </c>
      <c r="D119" s="8" t="s">
        <v>142</v>
      </c>
      <c r="E119" s="76" t="s">
        <v>266</v>
      </c>
      <c r="F119" s="8" t="s">
        <v>142</v>
      </c>
      <c r="G119" s="76" t="s">
        <v>267</v>
      </c>
      <c r="H119" s="9" t="s">
        <v>142</v>
      </c>
    </row>
    <row r="120" spans="1:8" s="2" customFormat="1" ht="13.5" customHeight="1" x14ac:dyDescent="0.25">
      <c r="A120" s="33" t="s">
        <v>268</v>
      </c>
      <c r="B120" s="72"/>
      <c r="C120" s="123" t="s">
        <v>142</v>
      </c>
      <c r="D120" s="123"/>
      <c r="E120" s="123"/>
      <c r="F120" s="123"/>
      <c r="G120" s="123"/>
      <c r="H120" s="123"/>
    </row>
    <row r="121" spans="1:8" s="2" customFormat="1" ht="13.5" customHeight="1" x14ac:dyDescent="0.25">
      <c r="A121" s="35" t="s">
        <v>269</v>
      </c>
      <c r="B121" s="48"/>
      <c r="C121" s="131" t="s">
        <v>142</v>
      </c>
      <c r="D121" s="131"/>
      <c r="E121" s="131"/>
      <c r="F121" s="131"/>
      <c r="G121" s="131"/>
      <c r="H121" s="131"/>
    </row>
    <row r="122" spans="1:8" s="2" customFormat="1" ht="9.75" customHeight="1" thickBot="1" x14ac:dyDescent="0.3">
      <c r="A122" s="130"/>
      <c r="B122" s="130"/>
      <c r="C122" s="130"/>
      <c r="D122" s="130"/>
      <c r="E122" s="130"/>
      <c r="F122" s="130"/>
      <c r="G122" s="130"/>
      <c r="H122" s="130"/>
    </row>
    <row r="123" spans="1:8" s="2" customFormat="1" ht="13.5" customHeight="1" x14ac:dyDescent="0.25">
      <c r="A123" s="49" t="s">
        <v>270</v>
      </c>
      <c r="B123" s="32" t="s">
        <v>6</v>
      </c>
      <c r="C123" s="122"/>
      <c r="D123" s="122"/>
      <c r="E123" s="122"/>
      <c r="F123" s="122"/>
      <c r="G123" s="122"/>
      <c r="H123" s="122"/>
    </row>
    <row r="124" spans="1:8" s="2" customFormat="1" ht="13.5" customHeight="1" x14ac:dyDescent="0.25">
      <c r="A124" s="50" t="s">
        <v>271</v>
      </c>
      <c r="B124" s="51"/>
      <c r="C124" s="123" t="s">
        <v>272</v>
      </c>
      <c r="D124" s="123"/>
      <c r="E124" s="123"/>
      <c r="F124" s="123"/>
      <c r="G124" s="123"/>
      <c r="H124" s="123"/>
    </row>
    <row r="125" spans="1:8" s="2" customFormat="1" ht="13.5" customHeight="1" x14ac:dyDescent="0.25">
      <c r="A125" s="61" t="s">
        <v>273</v>
      </c>
      <c r="B125" s="51"/>
      <c r="C125" s="74" t="s">
        <v>274</v>
      </c>
      <c r="D125" s="27">
        <v>680</v>
      </c>
      <c r="E125" s="76" t="s">
        <v>26</v>
      </c>
      <c r="F125" s="27">
        <v>59</v>
      </c>
      <c r="G125" s="76" t="s">
        <v>275</v>
      </c>
      <c r="H125" s="16">
        <v>280</v>
      </c>
    </row>
    <row r="126" spans="1:8" s="2" customFormat="1" ht="13.5" customHeight="1" x14ac:dyDescent="0.25">
      <c r="A126" s="33" t="s">
        <v>276</v>
      </c>
      <c r="B126" s="51" t="s">
        <v>277</v>
      </c>
      <c r="C126" s="74" t="s">
        <v>278</v>
      </c>
      <c r="D126" s="27">
        <v>4.4400000000000004</v>
      </c>
      <c r="E126" s="76" t="s">
        <v>279</v>
      </c>
      <c r="F126" s="27">
        <v>1</v>
      </c>
      <c r="G126" s="76" t="s">
        <v>280</v>
      </c>
      <c r="H126" s="16">
        <v>1.83</v>
      </c>
    </row>
    <row r="127" spans="1:8" s="2" customFormat="1" ht="13.5" customHeight="1" x14ac:dyDescent="0.25">
      <c r="A127" s="43" t="s">
        <v>281</v>
      </c>
      <c r="B127" s="44"/>
      <c r="C127" s="131" t="s">
        <v>282</v>
      </c>
      <c r="D127" s="131"/>
      <c r="E127" s="131"/>
      <c r="F127" s="131"/>
      <c r="G127" s="131"/>
      <c r="H127" s="131"/>
    </row>
    <row r="128" spans="1:8" s="2" customFormat="1" ht="9.75" customHeight="1" thickBot="1" x14ac:dyDescent="0.3">
      <c r="A128" s="130"/>
      <c r="B128" s="130"/>
      <c r="C128" s="130"/>
      <c r="D128" s="130"/>
      <c r="E128" s="130"/>
      <c r="F128" s="130"/>
      <c r="G128" s="130"/>
      <c r="H128" s="130"/>
    </row>
    <row r="129" spans="1:8" s="2" customFormat="1" ht="13.5" customHeight="1" x14ac:dyDescent="0.25">
      <c r="A129" s="31" t="s">
        <v>283</v>
      </c>
      <c r="B129" s="32" t="s">
        <v>6</v>
      </c>
      <c r="C129" s="122"/>
      <c r="D129" s="122"/>
      <c r="E129" s="122"/>
      <c r="F129" s="122"/>
      <c r="G129" s="122"/>
      <c r="H129" s="122"/>
    </row>
    <row r="130" spans="1:8" s="2" customFormat="1" ht="13.5" customHeight="1" x14ac:dyDescent="0.25">
      <c r="A130" s="34" t="s">
        <v>284</v>
      </c>
      <c r="B130" s="52"/>
      <c r="C130" s="123"/>
      <c r="D130" s="123"/>
      <c r="E130" s="123"/>
      <c r="F130" s="123"/>
      <c r="G130" s="123"/>
      <c r="H130" s="123"/>
    </row>
    <row r="131" spans="1:8" s="2" customFormat="1" ht="13.5" customHeight="1" thickBot="1" x14ac:dyDescent="0.3">
      <c r="A131" s="35" t="s">
        <v>285</v>
      </c>
      <c r="B131" s="53"/>
      <c r="C131" s="131"/>
      <c r="D131" s="131"/>
      <c r="E131" s="131"/>
      <c r="F131" s="131"/>
      <c r="G131" s="131"/>
      <c r="H131" s="131"/>
    </row>
    <row r="132" spans="1:8" s="2" customFormat="1" ht="9.75" customHeight="1" thickBot="1" x14ac:dyDescent="0.3">
      <c r="A132" s="167" t="s">
        <v>286</v>
      </c>
      <c r="B132" s="167"/>
      <c r="C132" s="167"/>
      <c r="D132" s="167"/>
      <c r="E132" s="167"/>
      <c r="F132" s="167"/>
      <c r="G132" s="167"/>
      <c r="H132" s="167"/>
    </row>
    <row r="133" spans="1:8" s="2" customFormat="1" ht="13.5" customHeight="1" x14ac:dyDescent="0.25">
      <c r="A133" s="113" t="s">
        <v>287</v>
      </c>
      <c r="B133" s="114" t="s">
        <v>6</v>
      </c>
      <c r="C133" s="168"/>
      <c r="D133" s="168"/>
      <c r="E133" s="168"/>
      <c r="F133" s="168"/>
      <c r="G133" s="168"/>
      <c r="H133" s="169"/>
    </row>
    <row r="134" spans="1:8" s="2" customFormat="1" ht="26.4" customHeight="1" x14ac:dyDescent="0.25">
      <c r="A134" s="115" t="s">
        <v>288</v>
      </c>
      <c r="B134" s="52"/>
      <c r="C134" s="123"/>
      <c r="D134" s="123"/>
      <c r="E134" s="123"/>
      <c r="F134" s="123"/>
      <c r="G134" s="123"/>
      <c r="H134" s="170"/>
    </row>
    <row r="135" spans="1:8" s="2" customFormat="1" ht="13.5" customHeight="1" x14ac:dyDescent="0.25">
      <c r="A135" s="115" t="s">
        <v>289</v>
      </c>
      <c r="B135" s="52"/>
      <c r="C135" s="123"/>
      <c r="D135" s="123"/>
      <c r="E135" s="123"/>
      <c r="F135" s="123"/>
      <c r="G135" s="123"/>
      <c r="H135" s="170"/>
    </row>
    <row r="136" spans="1:8" s="2" customFormat="1" ht="13.5" customHeight="1" x14ac:dyDescent="0.25">
      <c r="A136" s="115" t="s">
        <v>290</v>
      </c>
      <c r="B136" s="52"/>
      <c r="C136" s="123"/>
      <c r="D136" s="123"/>
      <c r="E136" s="123"/>
      <c r="F136" s="123"/>
      <c r="G136" s="123"/>
      <c r="H136" s="170"/>
    </row>
    <row r="137" spans="1:8" s="2" customFormat="1" ht="13.5" customHeight="1" x14ac:dyDescent="0.25">
      <c r="A137" s="115" t="s">
        <v>291</v>
      </c>
      <c r="B137" s="52"/>
      <c r="C137" s="123"/>
      <c r="D137" s="123"/>
      <c r="E137" s="123"/>
      <c r="F137" s="123"/>
      <c r="G137" s="123"/>
      <c r="H137" s="170"/>
    </row>
    <row r="138" spans="1:8" s="2" customFormat="1" ht="13.5" customHeight="1" x14ac:dyDescent="0.25">
      <c r="A138" s="115" t="s">
        <v>292</v>
      </c>
      <c r="B138" s="52"/>
      <c r="C138" s="123"/>
      <c r="D138" s="123"/>
      <c r="E138" s="123"/>
      <c r="F138" s="123"/>
      <c r="G138" s="123"/>
      <c r="H138" s="170"/>
    </row>
    <row r="139" spans="1:8" s="2" customFormat="1" ht="13.5" customHeight="1" thickBot="1" x14ac:dyDescent="0.3">
      <c r="A139" s="116" t="s">
        <v>285</v>
      </c>
      <c r="B139" s="117"/>
      <c r="C139" s="171"/>
      <c r="D139" s="171"/>
      <c r="E139" s="171"/>
      <c r="F139" s="171"/>
      <c r="G139" s="171"/>
      <c r="H139" s="172"/>
    </row>
  </sheetData>
  <sheetProtection selectLockedCells="1" selectUnlockedCells="1"/>
  <mergeCells count="162">
    <mergeCell ref="A132:H132"/>
    <mergeCell ref="C133:H133"/>
    <mergeCell ref="C134:H134"/>
    <mergeCell ref="C135:H135"/>
    <mergeCell ref="C137:H137"/>
    <mergeCell ref="C138:H138"/>
    <mergeCell ref="C139:H139"/>
    <mergeCell ref="C136:H136"/>
    <mergeCell ref="A1:G1"/>
    <mergeCell ref="A2:H2"/>
    <mergeCell ref="A3:B3"/>
    <mergeCell ref="C3:H3"/>
    <mergeCell ref="F9:H9"/>
    <mergeCell ref="G11:H11"/>
    <mergeCell ref="B12:H12"/>
    <mergeCell ref="C13:E13"/>
    <mergeCell ref="F13:H13"/>
    <mergeCell ref="A4:B4"/>
    <mergeCell ref="C4:H4"/>
    <mergeCell ref="A5:H5"/>
    <mergeCell ref="C6:H6"/>
    <mergeCell ref="C17:E17"/>
    <mergeCell ref="F17:H17"/>
    <mergeCell ref="D19:E19"/>
    <mergeCell ref="G19:H19"/>
    <mergeCell ref="C14:E14"/>
    <mergeCell ref="F14:H14"/>
    <mergeCell ref="C16:E16"/>
    <mergeCell ref="F16:H16"/>
    <mergeCell ref="D25:E25"/>
    <mergeCell ref="G25:H25"/>
    <mergeCell ref="D26:E26"/>
    <mergeCell ref="G26:H26"/>
    <mergeCell ref="D20:E20"/>
    <mergeCell ref="G20:H20"/>
    <mergeCell ref="D21:E21"/>
    <mergeCell ref="G21:H21"/>
    <mergeCell ref="C29:E29"/>
    <mergeCell ref="F29:H29"/>
    <mergeCell ref="D30:E30"/>
    <mergeCell ref="G30:H30"/>
    <mergeCell ref="D27:E27"/>
    <mergeCell ref="G27:H27"/>
    <mergeCell ref="D28:E28"/>
    <mergeCell ref="G28:H28"/>
    <mergeCell ref="C36:H36"/>
    <mergeCell ref="A38:H38"/>
    <mergeCell ref="C39:E39"/>
    <mergeCell ref="F39:H39"/>
    <mergeCell ref="D31:E31"/>
    <mergeCell ref="G31:H31"/>
    <mergeCell ref="G34:H34"/>
    <mergeCell ref="F35:H35"/>
    <mergeCell ref="C42:E42"/>
    <mergeCell ref="F42:H42"/>
    <mergeCell ref="C56:H56"/>
    <mergeCell ref="C43:E43"/>
    <mergeCell ref="F43:H43"/>
    <mergeCell ref="C40:E40"/>
    <mergeCell ref="F40:H40"/>
    <mergeCell ref="C41:E41"/>
    <mergeCell ref="F41:H41"/>
    <mergeCell ref="C47:E47"/>
    <mergeCell ref="F47:H47"/>
    <mergeCell ref="A48:H48"/>
    <mergeCell ref="C49:H49"/>
    <mergeCell ref="C45:E45"/>
    <mergeCell ref="F45:H45"/>
    <mergeCell ref="C46:E46"/>
    <mergeCell ref="F46:H46"/>
    <mergeCell ref="C54:H54"/>
    <mergeCell ref="C55:H55"/>
    <mergeCell ref="C50:H50"/>
    <mergeCell ref="C51:H51"/>
    <mergeCell ref="F52:H52"/>
    <mergeCell ref="C53:H53"/>
    <mergeCell ref="C61:H61"/>
    <mergeCell ref="C62:H62"/>
    <mergeCell ref="C63:H63"/>
    <mergeCell ref="C64:H64"/>
    <mergeCell ref="A57:H57"/>
    <mergeCell ref="C58:H58"/>
    <mergeCell ref="C59:H59"/>
    <mergeCell ref="C60:H60"/>
    <mergeCell ref="C69:H69"/>
    <mergeCell ref="C70:H70"/>
    <mergeCell ref="G71:H71"/>
    <mergeCell ref="C73:H73"/>
    <mergeCell ref="C65:H65"/>
    <mergeCell ref="A66:H66"/>
    <mergeCell ref="C67:H67"/>
    <mergeCell ref="C68:H68"/>
    <mergeCell ref="C74:H74"/>
    <mergeCell ref="F76:H76"/>
    <mergeCell ref="A77:H77"/>
    <mergeCell ref="C87:E87"/>
    <mergeCell ref="F87:H87"/>
    <mergeCell ref="C84:E84"/>
    <mergeCell ref="F84:H84"/>
    <mergeCell ref="C82:E82"/>
    <mergeCell ref="F82:H82"/>
    <mergeCell ref="C86:E86"/>
    <mergeCell ref="A113:H113"/>
    <mergeCell ref="C81:E81"/>
    <mergeCell ref="F81:H81"/>
    <mergeCell ref="C85:E85"/>
    <mergeCell ref="F85:H85"/>
    <mergeCell ref="F86:H86"/>
    <mergeCell ref="C78:E78"/>
    <mergeCell ref="F78:H78"/>
    <mergeCell ref="C79:E79"/>
    <mergeCell ref="F79:H79"/>
    <mergeCell ref="C80:E80"/>
    <mergeCell ref="F80:H80"/>
    <mergeCell ref="C92:E92"/>
    <mergeCell ref="F92:H92"/>
    <mergeCell ref="C93:E93"/>
    <mergeCell ref="C102:H102"/>
    <mergeCell ref="C104:H104"/>
    <mergeCell ref="C131:H131"/>
    <mergeCell ref="C124:H124"/>
    <mergeCell ref="C127:H127"/>
    <mergeCell ref="A128:H128"/>
    <mergeCell ref="C129:H129"/>
    <mergeCell ref="C115:H115"/>
    <mergeCell ref="C116:H116"/>
    <mergeCell ref="C123:H123"/>
    <mergeCell ref="C130:H130"/>
    <mergeCell ref="D117:H117"/>
    <mergeCell ref="C120:H120"/>
    <mergeCell ref="C121:H121"/>
    <mergeCell ref="A122:H122"/>
    <mergeCell ref="C114:H114"/>
    <mergeCell ref="C105:H105"/>
    <mergeCell ref="C106:H106"/>
    <mergeCell ref="C107:H107"/>
    <mergeCell ref="C108:H108"/>
    <mergeCell ref="C109:H109"/>
    <mergeCell ref="C110:H110"/>
    <mergeCell ref="C111:H111"/>
    <mergeCell ref="C112:H112"/>
    <mergeCell ref="C88:E88"/>
    <mergeCell ref="F88:H88"/>
    <mergeCell ref="C89:E89"/>
    <mergeCell ref="F89:H89"/>
    <mergeCell ref="C91:E91"/>
    <mergeCell ref="F91:H91"/>
    <mergeCell ref="C94:E94"/>
    <mergeCell ref="F94:H94"/>
    <mergeCell ref="C90:E90"/>
    <mergeCell ref="F90:H90"/>
    <mergeCell ref="F93:H93"/>
    <mergeCell ref="C95:E95"/>
    <mergeCell ref="F95:H95"/>
    <mergeCell ref="C98:H98"/>
    <mergeCell ref="C99:H99"/>
    <mergeCell ref="C100:H100"/>
    <mergeCell ref="C101:H101"/>
    <mergeCell ref="C103:H103"/>
    <mergeCell ref="C96:E96"/>
    <mergeCell ref="F96:H96"/>
    <mergeCell ref="A97:H97"/>
  </mergeCells>
  <phoneticPr fontId="5" type="noConversion"/>
  <printOptions horizontalCentered="1"/>
  <pageMargins left="0.2" right="0.2" top="0.25" bottom="0.21" header="0.4" footer="0"/>
  <pageSetup scale="82" firstPageNumber="0" fitToHeight="0" orientation="portrait" horizontalDpi="300" verticalDpi="300" r:id="rId1"/>
  <headerFooter alignWithMargins="0"/>
  <rowBreaks count="2" manualBreakCount="2">
    <brk id="65" max="7" man="1"/>
    <brk id="131" max="7"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53"/>
  </sheetPr>
  <dimension ref="B1:B31"/>
  <sheetViews>
    <sheetView showGridLines="0" topLeftCell="A7" zoomScale="120" zoomScaleNormal="120" workbookViewId="0">
      <selection activeCell="B16" sqref="B16"/>
    </sheetView>
  </sheetViews>
  <sheetFormatPr defaultColWidth="9.109375" defaultRowHeight="13.2" x14ac:dyDescent="0.25"/>
  <cols>
    <col min="1" max="1" width="1" style="55" customWidth="1"/>
    <col min="2" max="2" width="113.5546875" style="55" customWidth="1"/>
    <col min="3" max="16384" width="9.109375" style="55"/>
  </cols>
  <sheetData>
    <row r="1" spans="2:2" ht="6.75" customHeight="1" x14ac:dyDescent="0.25"/>
    <row r="2" spans="2:2" ht="17.399999999999999" x14ac:dyDescent="0.25">
      <c r="B2" s="56" t="s">
        <v>293</v>
      </c>
    </row>
    <row r="4" spans="2:2" ht="45" customHeight="1" x14ac:dyDescent="0.25">
      <c r="B4" s="54" t="s">
        <v>294</v>
      </c>
    </row>
    <row r="5" spans="2:2" ht="40.5" customHeight="1" x14ac:dyDescent="0.25">
      <c r="B5" s="54" t="s">
        <v>295</v>
      </c>
    </row>
    <row r="6" spans="2:2" ht="38.25" customHeight="1" x14ac:dyDescent="0.25">
      <c r="B6" s="54" t="s">
        <v>296</v>
      </c>
    </row>
    <row r="7" spans="2:2" ht="40.5" customHeight="1" x14ac:dyDescent="0.25">
      <c r="B7" s="54" t="s">
        <v>297</v>
      </c>
    </row>
    <row r="8" spans="2:2" ht="39.75" customHeight="1" x14ac:dyDescent="0.25">
      <c r="B8" s="54" t="s">
        <v>298</v>
      </c>
    </row>
    <row r="9" spans="2:2" ht="37.5" customHeight="1" x14ac:dyDescent="0.25">
      <c r="B9" s="54" t="s">
        <v>299</v>
      </c>
    </row>
    <row r="10" spans="2:2" ht="51.75" customHeight="1" x14ac:dyDescent="0.25">
      <c r="B10" s="54" t="s">
        <v>300</v>
      </c>
    </row>
    <row r="11" spans="2:2" ht="40.5" customHeight="1" x14ac:dyDescent="0.25">
      <c r="B11" s="54" t="s">
        <v>301</v>
      </c>
    </row>
    <row r="12" spans="2:2" ht="40.5" customHeight="1" x14ac:dyDescent="0.25">
      <c r="B12" s="57" t="s">
        <v>302</v>
      </c>
    </row>
    <row r="13" spans="2:2" ht="40.5" customHeight="1" x14ac:dyDescent="0.25">
      <c r="B13" s="54" t="s">
        <v>303</v>
      </c>
    </row>
    <row r="14" spans="2:2" ht="40.5" customHeight="1" x14ac:dyDescent="0.25">
      <c r="B14" s="30" t="s">
        <v>304</v>
      </c>
    </row>
    <row r="15" spans="2:2" ht="33" customHeight="1" x14ac:dyDescent="0.25">
      <c r="B15" s="30"/>
    </row>
    <row r="16" spans="2:2" ht="6.75" customHeight="1" x14ac:dyDescent="0.25">
      <c r="B16" s="54"/>
    </row>
    <row r="17" spans="2:2" ht="6.75" customHeight="1" x14ac:dyDescent="0.25">
      <c r="B17" s="54"/>
    </row>
    <row r="18" spans="2:2" ht="6.75" customHeight="1" x14ac:dyDescent="0.25">
      <c r="B18" s="54"/>
    </row>
    <row r="19" spans="2:2" ht="6.75" customHeight="1" x14ac:dyDescent="0.25">
      <c r="B19" s="54"/>
    </row>
    <row r="20" spans="2:2" ht="6.75" customHeight="1" x14ac:dyDescent="0.25">
      <c r="B20" s="54"/>
    </row>
    <row r="21" spans="2:2" ht="40.5" customHeight="1" x14ac:dyDescent="0.25">
      <c r="B21" s="54"/>
    </row>
    <row r="22" spans="2:2" ht="6.75" customHeight="1" x14ac:dyDescent="0.25">
      <c r="B22" s="54"/>
    </row>
    <row r="23" spans="2:2" ht="6.75" customHeight="1" x14ac:dyDescent="0.25">
      <c r="B23" s="54"/>
    </row>
    <row r="24" spans="2:2" ht="6.75" customHeight="1" x14ac:dyDescent="0.25">
      <c r="B24" s="54"/>
    </row>
    <row r="25" spans="2:2" ht="6.75" customHeight="1" x14ac:dyDescent="0.25">
      <c r="B25" s="54"/>
    </row>
    <row r="26" spans="2:2" ht="6.75" customHeight="1" x14ac:dyDescent="0.25">
      <c r="B26" s="54"/>
    </row>
    <row r="27" spans="2:2" ht="6.75" customHeight="1" x14ac:dyDescent="0.25">
      <c r="B27" s="54"/>
    </row>
    <row r="28" spans="2:2" ht="6.75" customHeight="1" x14ac:dyDescent="0.25">
      <c r="B28" s="54"/>
    </row>
    <row r="29" spans="2:2" ht="6.75" customHeight="1" x14ac:dyDescent="0.25">
      <c r="B29" s="54"/>
    </row>
    <row r="30" spans="2:2" ht="6.75" customHeight="1" x14ac:dyDescent="0.25">
      <c r="B30" s="54"/>
    </row>
    <row r="31" spans="2:2" ht="6.75" customHeight="1" x14ac:dyDescent="0.25">
      <c r="B31" s="54"/>
    </row>
  </sheetData>
  <sheetProtection selectLockedCells="1" selectUnlockedCells="1"/>
  <phoneticPr fontId="5" type="noConversion"/>
  <printOptions horizontalCentered="1" verticalCentered="1"/>
  <pageMargins left="0.7" right="0.7" top="0.75" bottom="0.75" header="0.51180555555555596" footer="0.51180555555555596"/>
  <pageSetup firstPageNumber="0"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4405dca-01a7-402d-9ed1-e94a21a194f7">
      <Terms xmlns="http://schemas.microsoft.com/office/infopath/2007/PartnerControls"/>
    </lcf76f155ced4ddcb4097134ff3c332f>
    <TaxCatchAll xmlns="4ded7179-2168-44c8-9c2c-6be8427c46d0" xsi:nil="true"/>
    <Choice xmlns="e4405dca-01a7-402d-9ed1-e94a21a194f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DBB5DEBF10D6C4C93771B3526CD9D28" ma:contentTypeVersion="14" ma:contentTypeDescription="Create a new document." ma:contentTypeScope="" ma:versionID="0b2771336d611fcd5911319539d14ee9">
  <xsd:schema xmlns:xsd="http://www.w3.org/2001/XMLSchema" xmlns:xs="http://www.w3.org/2001/XMLSchema" xmlns:p="http://schemas.microsoft.com/office/2006/metadata/properties" xmlns:ns2="e4405dca-01a7-402d-9ed1-e94a21a194f7" xmlns:ns3="4ded7179-2168-44c8-9c2c-6be8427c46d0" targetNamespace="http://schemas.microsoft.com/office/2006/metadata/properties" ma:root="true" ma:fieldsID="7a8d109e3f3cf68e958465b1afe320b8" ns2:_="" ns3:_="">
    <xsd:import namespace="e4405dca-01a7-402d-9ed1-e94a21a194f7"/>
    <xsd:import namespace="4ded7179-2168-44c8-9c2c-6be8427c46d0"/>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ServiceBillingMetadata" minOccurs="0"/>
                <xsd:element ref="ns2:MediaServiceOCR" minOccurs="0"/>
                <xsd:element ref="ns2:MediaLengthInSeconds" minOccurs="0"/>
                <xsd:element ref="ns2:MediaServiceLocation" minOccurs="0"/>
                <xsd:element ref="ns2:Choic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405dca-01a7-402d-9ed1-e94a21a194f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Choice" ma:index="21" nillable="true" ma:displayName="Choice" ma:format="Dropdown" ma:internalName="Choice">
      <xsd:simpleType>
        <xsd:restriction base="dms:Choice">
          <xsd:enumeration value="Dues"/>
          <xsd:enumeration value="Etc"/>
          <xsd:enumeration value="Etc"/>
        </xsd:restriction>
      </xsd:simpleType>
    </xsd:element>
  </xsd:schema>
  <xsd:schema xmlns:xsd="http://www.w3.org/2001/XMLSchema" xmlns:xs="http://www.w3.org/2001/XMLSchema" xmlns:dms="http://schemas.microsoft.com/office/2006/documentManagement/types" xmlns:pc="http://schemas.microsoft.com/office/infopath/2007/PartnerControls" targetNamespace="4ded7179-2168-44c8-9c2c-6be8427c46d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364416ce-da75-4ca5-b1e2-01c7d7b9e4e9}" ma:internalName="TaxCatchAll" ma:showField="CatchAllData" ma:web="4ded7179-2168-44c8-9c2c-6be8427c46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751135-5BE7-4DB1-8B17-9285EFADD7F6}">
  <ds:schemaRefs>
    <ds:schemaRef ds:uri="http://schemas.microsoft.com/sharepoint/v3/contenttype/forms"/>
  </ds:schemaRefs>
</ds:datastoreItem>
</file>

<file path=customXml/itemProps2.xml><?xml version="1.0" encoding="utf-8"?>
<ds:datastoreItem xmlns:ds="http://schemas.openxmlformats.org/officeDocument/2006/customXml" ds:itemID="{BCF4C746-1EC6-4CB5-849E-7CE9652C1A80}">
  <ds:schemaRefs>
    <ds:schemaRef ds:uri="http://schemas.microsoft.com/office/2006/metadata/properties"/>
    <ds:schemaRef ds:uri="http://schemas.openxmlformats.org/package/2006/metadata/core-properties"/>
    <ds:schemaRef ds:uri="http://schemas.microsoft.com/office/2006/documentManagement/types"/>
    <ds:schemaRef ds:uri="e4405dca-01a7-402d-9ed1-e94a21a194f7"/>
    <ds:schemaRef ds:uri="http://purl.org/dc/elements/1.1/"/>
    <ds:schemaRef ds:uri="http://schemas.microsoft.com/office/infopath/2007/PartnerControls"/>
    <ds:schemaRef ds:uri="http://purl.org/dc/terms/"/>
    <ds:schemaRef ds:uri="4ded7179-2168-44c8-9c2c-6be8427c46d0"/>
    <ds:schemaRef ds:uri="http://www.w3.org/XML/1998/namespace"/>
    <ds:schemaRef ds:uri="http://purl.org/dc/dcmitype/"/>
  </ds:schemaRefs>
</ds:datastoreItem>
</file>

<file path=customXml/itemProps3.xml><?xml version="1.0" encoding="utf-8"?>
<ds:datastoreItem xmlns:ds="http://schemas.openxmlformats.org/officeDocument/2006/customXml" ds:itemID="{35E135C4-73AB-41C2-BD6A-B60C8F6663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405dca-01a7-402d-9ed1-e94a21a194f7"/>
    <ds:schemaRef ds:uri="4ded7179-2168-44c8-9c2c-6be8427c46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FSAE_Specs_EV</vt:lpstr>
      <vt:lpstr>Instructions-Tips</vt:lpstr>
      <vt:lpstr>Pr</vt:lpstr>
      <vt:lpstr>FSAE_Specs_EV!Print_Area</vt:lpstr>
      <vt:lpstr>'Instructions-Tips'!Print_Area</vt:lpstr>
    </vt:vector>
  </TitlesOfParts>
  <Manager/>
  <Company>PAR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Dave Redszus</dc:creator>
  <cp:keywords/>
  <dc:description/>
  <cp:lastModifiedBy>Peng, Ethan</cp:lastModifiedBy>
  <cp:revision/>
  <dcterms:created xsi:type="dcterms:W3CDTF">2015-03-04T19:17:28Z</dcterms:created>
  <dcterms:modified xsi:type="dcterms:W3CDTF">2026-05-05T00:19:00Z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0x0101004DBB5DEBF10D6C4C93771B3526CD9D28</vt:lpwstr>
  </property>
  <property fmtid="{D5CDD505-2E9C-101B-9397-08002B2CF9AE}" pid="3" name="MediaServiceImageTags">
    <vt:lpwstr/>
  </property>
</Properties>
</file>